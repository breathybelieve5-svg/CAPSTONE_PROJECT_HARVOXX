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tables/table2.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ADMIN\Documents\"/>
    </mc:Choice>
  </mc:AlternateContent>
  <xr:revisionPtr revIDLastSave="0" documentId="8_{6EB8C955-1C9B-4095-B5BE-1E3288009BFB}" xr6:coauthVersionLast="47" xr6:coauthVersionMax="47" xr10:uidLastSave="{00000000-0000-0000-0000-000000000000}"/>
  <bookViews>
    <workbookView xWindow="-120" yWindow="-120" windowWidth="20730" windowHeight="11160" firstSheet="1" activeTab="5" xr2:uid="{321E88FB-8C76-4C56-9693-A9BDA32A34E4}"/>
  </bookViews>
  <sheets>
    <sheet name="Capstone messy_restaurant_data" sheetId="1" r:id="rId1"/>
    <sheet name="Chart" sheetId="5" r:id="rId2"/>
    <sheet name="Sheet3" sheetId="4" r:id="rId3"/>
    <sheet name="Pivot" sheetId="3" r:id="rId4"/>
    <sheet name="Sheet1" sheetId="2" r:id="rId5"/>
    <sheet name="DASHBOARD" sheetId="6" r:id="rId6"/>
  </sheets>
  <definedNames>
    <definedName name="_xlnm._FilterDatabase" localSheetId="0" hidden="1">'Capstone messy_restaurant_data'!$B$1:$H$46</definedName>
    <definedName name="Slicer_Customer">#N/A</definedName>
    <definedName name="Slicer_Dish_Ordered">#N/A</definedName>
    <definedName name="Slicer_Price_of_Dish_Ordered">#N/A</definedName>
    <definedName name="Slicer_Quantity">#N/A</definedName>
  </definedNames>
  <calcPr calcId="181029"/>
  <pivotCaches>
    <pivotCache cacheId="0" r:id="rId7"/>
    <pivotCache cacheId="1"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I4" i="4" l="1"/>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3" i="4"/>
  <c r="K1" i="5"/>
  <c r="F1" i="5"/>
  <c r="B1" i="5"/>
  <c r="J7" i="1"/>
  <c r="J6" i="1"/>
  <c r="J5" i="1"/>
  <c r="J4" i="1"/>
  <c r="J3" i="1"/>
  <c r="J2" i="1"/>
</calcChain>
</file>

<file path=xl/sharedStrings.xml><?xml version="1.0" encoding="utf-8"?>
<sst xmlns="http://schemas.openxmlformats.org/spreadsheetml/2006/main" count="795" uniqueCount="80">
  <si>
    <t>Customer</t>
  </si>
  <si>
    <t>Restaurant</t>
  </si>
  <si>
    <t>Dish Ordered</t>
  </si>
  <si>
    <t>Rating</t>
  </si>
  <si>
    <t>Date of Visit</t>
  </si>
  <si>
    <t>Feedback</t>
  </si>
  <si>
    <t>Price of Dish Ordered</t>
  </si>
  <si>
    <t>Quantity</t>
  </si>
  <si>
    <t>Chris Smith</t>
  </si>
  <si>
    <t>McDonalds</t>
  </si>
  <si>
    <t>Sushi</t>
  </si>
  <si>
    <t>Sarah Rodriguez</t>
  </si>
  <si>
    <t>Burger King</t>
  </si>
  <si>
    <t>Pasta</t>
  </si>
  <si>
    <t>Good service</t>
  </si>
  <si>
    <t>Jane Brown</t>
  </si>
  <si>
    <t>Fries</t>
  </si>
  <si>
    <t>Michael Johnson</t>
  </si>
  <si>
    <t>Nuggets</t>
  </si>
  <si>
    <t>Sarah Williams</t>
  </si>
  <si>
    <t>Taco</t>
  </si>
  <si>
    <t>Dominos</t>
  </si>
  <si>
    <t>Subway</t>
  </si>
  <si>
    <t>KFC</t>
  </si>
  <si>
    <t>Salad</t>
  </si>
  <si>
    <t>James Brown</t>
  </si>
  <si>
    <t>James Jones</t>
  </si>
  <si>
    <t>James Martinez</t>
  </si>
  <si>
    <t>Alex Smith</t>
  </si>
  <si>
    <t>James Garcia</t>
  </si>
  <si>
    <t>Sandwich</t>
  </si>
  <si>
    <t>Alex Davis</t>
  </si>
  <si>
    <t>Katie Martinez</t>
  </si>
  <si>
    <t>Burger</t>
  </si>
  <si>
    <t>Michael Williams</t>
  </si>
  <si>
    <t>Katie Jones</t>
  </si>
  <si>
    <t>Pizza</t>
  </si>
  <si>
    <t>Wrap</t>
  </si>
  <si>
    <t>Emily Johnson</t>
  </si>
  <si>
    <t>Chris Williams</t>
  </si>
  <si>
    <t>Sarah Miller</t>
  </si>
  <si>
    <t>Name Missing</t>
  </si>
  <si>
    <t>Omitted</t>
  </si>
  <si>
    <t>Order Missing</t>
  </si>
  <si>
    <t>Emily Garcia</t>
  </si>
  <si>
    <t>James Rodriguez</t>
  </si>
  <si>
    <t>Jane Martinez</t>
  </si>
  <si>
    <t>Emily Miller</t>
  </si>
  <si>
    <t>Sarah Jones</t>
  </si>
  <si>
    <t>Jane Miller</t>
  </si>
  <si>
    <t>Laura Jones</t>
  </si>
  <si>
    <t>Laura Williams</t>
  </si>
  <si>
    <t>Katie Johnson</t>
  </si>
  <si>
    <t>Jane Garcia</t>
  </si>
  <si>
    <r>
      <rPr>
        <b/>
        <sz val="14"/>
        <color rgb="FFFF0000"/>
        <rFont val="Calibri"/>
        <family val="2"/>
        <scheme val="minor"/>
      </rPr>
      <t>ANALYSIS</t>
    </r>
    <r>
      <rPr>
        <b/>
        <sz val="14"/>
        <color theme="1"/>
        <rFont val="Calibri"/>
        <family val="2"/>
        <scheme val="minor"/>
      </rPr>
      <t xml:space="preserve"> </t>
    </r>
    <r>
      <rPr>
        <b/>
        <sz val="14"/>
        <color rgb="FFFF0000"/>
        <rFont val="Calibri"/>
        <family val="2"/>
        <scheme val="minor"/>
      </rPr>
      <t>TASKS</t>
    </r>
  </si>
  <si>
    <t>Row Labels</t>
  </si>
  <si>
    <t>Grand Total</t>
  </si>
  <si>
    <t>Count of Customer</t>
  </si>
  <si>
    <t>Sum of Price of Dish Ordered</t>
  </si>
  <si>
    <t>Average of Price of Dish Ordered</t>
  </si>
  <si>
    <t>Max of Price of Dish Ordered</t>
  </si>
  <si>
    <t>Min of Price of Dish Ordered</t>
  </si>
  <si>
    <t>Sum of Quantity</t>
  </si>
  <si>
    <t>Count of Quantity</t>
  </si>
  <si>
    <t>CHEAPEST ITEM SOLD</t>
  </si>
  <si>
    <t>MOST EXPENSIVE ITEM SOLD</t>
  </si>
  <si>
    <t>TOTAL QUANTITY</t>
  </si>
  <si>
    <t>LOWEST SINGLE TRANSCATION</t>
  </si>
  <si>
    <t>HIGHEST SINGLE TRANSCATION</t>
  </si>
  <si>
    <t>Column Labels</t>
  </si>
  <si>
    <t>Jan</t>
  </si>
  <si>
    <t>Feb</t>
  </si>
  <si>
    <t>REVENUE ANAYSIS</t>
  </si>
  <si>
    <t>PRODUCT ANALYSIS</t>
  </si>
  <si>
    <t>TIME-BASED ANALYSIS</t>
  </si>
  <si>
    <t>TREND ANALYSIS</t>
  </si>
  <si>
    <t>CUSTOMER ANAYSIS</t>
  </si>
  <si>
    <t>CAPSTONE RESTURANT DATABASE</t>
  </si>
  <si>
    <t>Column1</t>
  </si>
  <si>
    <t>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</si>
</sst>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rgb="FFFF0000"/>
      <name val="Calibri"/>
      <family val="2"/>
      <scheme val="minor"/>
    </font>
    <font>
      <b/>
      <sz val="14"/>
      <color theme="1"/>
      <name val="Calibri"/>
      <family val="2"/>
      <scheme val="minor"/>
    </font>
    <font>
      <sz val="14"/>
      <color rgb="FFFF0000"/>
      <name val="Calibri"/>
      <family val="2"/>
      <scheme val="minor"/>
    </font>
    <font>
      <b/>
      <sz val="36"/>
      <color theme="4"/>
      <name val="Calibri"/>
      <family val="2"/>
      <scheme val="minor"/>
    </font>
    <font>
      <sz val="11"/>
      <color theme="4"/>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0" fontId="20" fillId="33" borderId="0" xfId="0" applyFont="1" applyFill="1"/>
    <xf numFmtId="0" fontId="0" fillId="0" borderId="0" xfId="0" pivotButton="1"/>
    <xf numFmtId="0" fontId="0" fillId="0" borderId="0" xfId="0" applyAlignment="1">
      <alignment horizontal="left"/>
    </xf>
    <xf numFmtId="0" fontId="21" fillId="0" borderId="0" xfId="0" applyFont="1"/>
    <xf numFmtId="0" fontId="22" fillId="0" borderId="0" xfId="0" applyFont="1"/>
    <xf numFmtId="0" fontId="0" fillId="0" borderId="0" xfId="0" applyAlignment="1">
      <alignment horizontal="center"/>
    </xf>
    <xf numFmtId="0" fontId="19" fillId="33" borderId="0" xfId="0" applyFont="1" applyFill="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9" formatCode="m/d/yyyy"/>
    </dxf>
    <dxf>
      <font>
        <b val="0"/>
        <i val="0"/>
        <strike val="0"/>
        <condense val="0"/>
        <extend val="0"/>
        <outline val="0"/>
        <shadow val="0"/>
        <u val="none"/>
        <vertAlign val="baseline"/>
        <sz val="14"/>
        <color rgb="FFFF0000"/>
        <name val="Calibri"/>
        <family val="2"/>
        <scheme val="minor"/>
      </font>
      <fill>
        <patternFill patternType="solid">
          <fgColor indexed="64"/>
          <bgColor theme="3"/>
        </patternFill>
      </fill>
    </dxf>
    <dxf>
      <numFmt numFmtId="19" formatCode="m/d/yyyy"/>
    </dxf>
  </dxfs>
  <tableStyles count="0" defaultTableStyle="TableStyleMedium2" defaultPivotStyle="PivotStyleLight16"/>
  <colors>
    <mruColors>
      <color rgb="FF8FF9A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 Capstone messy_restaurant_data.xlsx]Chart!PivotTable7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Dish_ordered</a:t>
            </a:r>
            <a:r>
              <a:rPr lang="en-US" baseline="0"/>
              <a:t> Vs Date_of_Visit Vs Sum_Price of Dish_Ordered</a:t>
            </a:r>
            <a:endParaRPr lang="en-US"/>
          </a:p>
        </c:rich>
      </c:tx>
      <c:layout>
        <c:manualLayout>
          <c:xMode val="edge"/>
          <c:yMode val="edge"/>
          <c:x val="0.39282633420822405"/>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13648293963253"/>
          <c:y val="0.17027559055118111"/>
          <c:w val="0.60686351706036745"/>
          <c:h val="0.50543890347039955"/>
        </c:manualLayout>
      </c:layout>
      <c:lineChart>
        <c:grouping val="standard"/>
        <c:varyColors val="0"/>
        <c:ser>
          <c:idx val="0"/>
          <c:order val="0"/>
          <c:tx>
            <c:strRef>
              <c:f>Chart!$O$3:$O$5</c:f>
              <c:strCache>
                <c:ptCount val="1"/>
                <c:pt idx="0">
                  <c:v>Jan</c:v>
                </c:pt>
              </c:strCache>
            </c:strRef>
          </c:tx>
          <c:spPr>
            <a:ln w="28575" cap="rnd">
              <a:solidFill>
                <a:schemeClr val="accent1"/>
              </a:solidFill>
              <a:round/>
            </a:ln>
            <a:effectLst/>
          </c:spPr>
          <c:marker>
            <c:symbol val="none"/>
          </c:marker>
          <c:cat>
            <c:strRef>
              <c:f>Chart!$N$6:$N$17</c:f>
              <c:strCache>
                <c:ptCount val="11"/>
                <c:pt idx="0">
                  <c:v>Burger</c:v>
                </c:pt>
                <c:pt idx="1">
                  <c:v>Fries</c:v>
                </c:pt>
                <c:pt idx="2">
                  <c:v>Nuggets</c:v>
                </c:pt>
                <c:pt idx="3">
                  <c:v>Order Missing</c:v>
                </c:pt>
                <c:pt idx="4">
                  <c:v>Pasta</c:v>
                </c:pt>
                <c:pt idx="5">
                  <c:v>Pizza</c:v>
                </c:pt>
                <c:pt idx="6">
                  <c:v>Salad</c:v>
                </c:pt>
                <c:pt idx="7">
                  <c:v>Sandwich</c:v>
                </c:pt>
                <c:pt idx="8">
                  <c:v>Sushi</c:v>
                </c:pt>
                <c:pt idx="9">
                  <c:v>Taco</c:v>
                </c:pt>
                <c:pt idx="10">
                  <c:v>Wrap</c:v>
                </c:pt>
              </c:strCache>
            </c:strRef>
          </c:cat>
          <c:val>
            <c:numRef>
              <c:f>Chart!$O$6:$O$17</c:f>
              <c:numCache>
                <c:formatCode>General</c:formatCode>
                <c:ptCount val="11"/>
                <c:pt idx="0">
                  <c:v>67</c:v>
                </c:pt>
                <c:pt idx="1">
                  <c:v>69</c:v>
                </c:pt>
                <c:pt idx="2">
                  <c:v>15</c:v>
                </c:pt>
                <c:pt idx="3">
                  <c:v>110</c:v>
                </c:pt>
                <c:pt idx="4">
                  <c:v>65</c:v>
                </c:pt>
                <c:pt idx="5">
                  <c:v>25</c:v>
                </c:pt>
                <c:pt idx="6">
                  <c:v>45</c:v>
                </c:pt>
                <c:pt idx="7">
                  <c:v>88</c:v>
                </c:pt>
                <c:pt idx="8">
                  <c:v>57</c:v>
                </c:pt>
                <c:pt idx="9">
                  <c:v>45</c:v>
                </c:pt>
                <c:pt idx="10">
                  <c:v>20</c:v>
                </c:pt>
              </c:numCache>
            </c:numRef>
          </c:val>
          <c:smooth val="0"/>
          <c:extLst>
            <c:ext xmlns:c16="http://schemas.microsoft.com/office/drawing/2014/chart" uri="{C3380CC4-5D6E-409C-BE32-E72D297353CC}">
              <c16:uniqueId val="{00000000-6B1D-4439-AC3E-CF76164B3C8C}"/>
            </c:ext>
          </c:extLst>
        </c:ser>
        <c:ser>
          <c:idx val="1"/>
          <c:order val="1"/>
          <c:tx>
            <c:strRef>
              <c:f>Chart!$P$3:$P$5</c:f>
              <c:strCache>
                <c:ptCount val="1"/>
                <c:pt idx="0">
                  <c:v>Feb</c:v>
                </c:pt>
              </c:strCache>
            </c:strRef>
          </c:tx>
          <c:spPr>
            <a:ln w="28575" cap="rnd">
              <a:solidFill>
                <a:schemeClr val="accent2"/>
              </a:solidFill>
              <a:round/>
            </a:ln>
            <a:effectLst/>
          </c:spPr>
          <c:marker>
            <c:symbol val="none"/>
          </c:marker>
          <c:cat>
            <c:strRef>
              <c:f>Chart!$N$6:$N$17</c:f>
              <c:strCache>
                <c:ptCount val="11"/>
                <c:pt idx="0">
                  <c:v>Burger</c:v>
                </c:pt>
                <c:pt idx="1">
                  <c:v>Fries</c:v>
                </c:pt>
                <c:pt idx="2">
                  <c:v>Nuggets</c:v>
                </c:pt>
                <c:pt idx="3">
                  <c:v>Order Missing</c:v>
                </c:pt>
                <c:pt idx="4">
                  <c:v>Pasta</c:v>
                </c:pt>
                <c:pt idx="5">
                  <c:v>Pizza</c:v>
                </c:pt>
                <c:pt idx="6">
                  <c:v>Salad</c:v>
                </c:pt>
                <c:pt idx="7">
                  <c:v>Sandwich</c:v>
                </c:pt>
                <c:pt idx="8">
                  <c:v>Sushi</c:v>
                </c:pt>
                <c:pt idx="9">
                  <c:v>Taco</c:v>
                </c:pt>
                <c:pt idx="10">
                  <c:v>Wrap</c:v>
                </c:pt>
              </c:strCache>
            </c:strRef>
          </c:cat>
          <c:val>
            <c:numRef>
              <c:f>Chart!$P$6:$P$17</c:f>
              <c:numCache>
                <c:formatCode>General</c:formatCode>
                <c:ptCount val="11"/>
                <c:pt idx="2">
                  <c:v>25</c:v>
                </c:pt>
                <c:pt idx="4">
                  <c:v>25</c:v>
                </c:pt>
                <c:pt idx="6">
                  <c:v>20</c:v>
                </c:pt>
                <c:pt idx="8">
                  <c:v>45</c:v>
                </c:pt>
              </c:numCache>
            </c:numRef>
          </c:val>
          <c:smooth val="0"/>
          <c:extLst>
            <c:ext xmlns:c16="http://schemas.microsoft.com/office/drawing/2014/chart" uri="{C3380CC4-5D6E-409C-BE32-E72D297353CC}">
              <c16:uniqueId val="{00000001-6B1D-4439-AC3E-CF76164B3C8C}"/>
            </c:ext>
          </c:extLst>
        </c:ser>
        <c:dLbls>
          <c:showLegendKey val="0"/>
          <c:showVal val="0"/>
          <c:showCatName val="0"/>
          <c:showSerName val="0"/>
          <c:showPercent val="0"/>
          <c:showBubbleSize val="0"/>
        </c:dLbls>
        <c:smooth val="0"/>
        <c:axId val="1847228432"/>
        <c:axId val="1839507552"/>
      </c:lineChart>
      <c:catAx>
        <c:axId val="1847228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9507552"/>
        <c:crosses val="autoZero"/>
        <c:auto val="1"/>
        <c:lblAlgn val="ctr"/>
        <c:lblOffset val="100"/>
        <c:noMultiLvlLbl val="0"/>
      </c:catAx>
      <c:valAx>
        <c:axId val="1839507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228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 Capstone messy_restaurant_data.xlsx]Chart!PivotTable2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Dish_Ordered</a:t>
            </a:r>
            <a:r>
              <a:rPr lang="en-US" baseline="0"/>
              <a:t> Vs Sum_Price_Of_Dish_Ordered Vs Sum_Quantity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Chart!$G$3</c:f>
              <c:strCache>
                <c:ptCount val="1"/>
                <c:pt idx="0">
                  <c:v>Sum of Quantity</c:v>
                </c:pt>
              </c:strCache>
            </c:strRef>
          </c:tx>
          <c:spPr>
            <a:solidFill>
              <a:schemeClr val="accent1"/>
            </a:solidFill>
            <a:ln>
              <a:noFill/>
            </a:ln>
            <a:effectLst/>
          </c:spPr>
          <c:invertIfNegative val="0"/>
          <c:cat>
            <c:strRef>
              <c:f>Chart!$F$4:$F$15</c:f>
              <c:strCache>
                <c:ptCount val="11"/>
                <c:pt idx="0">
                  <c:v>Burger</c:v>
                </c:pt>
                <c:pt idx="1">
                  <c:v>Fries</c:v>
                </c:pt>
                <c:pt idx="2">
                  <c:v>Nuggets</c:v>
                </c:pt>
                <c:pt idx="3">
                  <c:v>Order Missing</c:v>
                </c:pt>
                <c:pt idx="4">
                  <c:v>Pasta</c:v>
                </c:pt>
                <c:pt idx="5">
                  <c:v>Pizza</c:v>
                </c:pt>
                <c:pt idx="6">
                  <c:v>Salad</c:v>
                </c:pt>
                <c:pt idx="7">
                  <c:v>Sandwich</c:v>
                </c:pt>
                <c:pt idx="8">
                  <c:v>Sushi</c:v>
                </c:pt>
                <c:pt idx="9">
                  <c:v>Taco</c:v>
                </c:pt>
                <c:pt idx="10">
                  <c:v>Wrap</c:v>
                </c:pt>
              </c:strCache>
            </c:strRef>
          </c:cat>
          <c:val>
            <c:numRef>
              <c:f>Chart!$G$4:$G$15</c:f>
              <c:numCache>
                <c:formatCode>General</c:formatCode>
                <c:ptCount val="11"/>
                <c:pt idx="0">
                  <c:v>10</c:v>
                </c:pt>
                <c:pt idx="1">
                  <c:v>16</c:v>
                </c:pt>
                <c:pt idx="2">
                  <c:v>6</c:v>
                </c:pt>
                <c:pt idx="3">
                  <c:v>19</c:v>
                </c:pt>
                <c:pt idx="4">
                  <c:v>12</c:v>
                </c:pt>
                <c:pt idx="5">
                  <c:v>1</c:v>
                </c:pt>
                <c:pt idx="6">
                  <c:v>10</c:v>
                </c:pt>
                <c:pt idx="7">
                  <c:v>21</c:v>
                </c:pt>
                <c:pt idx="8">
                  <c:v>19</c:v>
                </c:pt>
                <c:pt idx="9">
                  <c:v>14</c:v>
                </c:pt>
                <c:pt idx="10">
                  <c:v>1</c:v>
                </c:pt>
              </c:numCache>
            </c:numRef>
          </c:val>
          <c:extLst>
            <c:ext xmlns:c16="http://schemas.microsoft.com/office/drawing/2014/chart" uri="{C3380CC4-5D6E-409C-BE32-E72D297353CC}">
              <c16:uniqueId val="{00000000-037D-447C-82CC-2D497A6C89EC}"/>
            </c:ext>
          </c:extLst>
        </c:ser>
        <c:ser>
          <c:idx val="1"/>
          <c:order val="1"/>
          <c:tx>
            <c:strRef>
              <c:f>Chart!$H$3</c:f>
              <c:strCache>
                <c:ptCount val="1"/>
                <c:pt idx="0">
                  <c:v>Sum of Price of Dish Ordered</c:v>
                </c:pt>
              </c:strCache>
            </c:strRef>
          </c:tx>
          <c:spPr>
            <a:solidFill>
              <a:schemeClr val="accent2"/>
            </a:solidFill>
            <a:ln>
              <a:noFill/>
            </a:ln>
            <a:effectLst/>
          </c:spPr>
          <c:invertIfNegative val="0"/>
          <c:cat>
            <c:strRef>
              <c:f>Chart!$F$4:$F$15</c:f>
              <c:strCache>
                <c:ptCount val="11"/>
                <c:pt idx="0">
                  <c:v>Burger</c:v>
                </c:pt>
                <c:pt idx="1">
                  <c:v>Fries</c:v>
                </c:pt>
                <c:pt idx="2">
                  <c:v>Nuggets</c:v>
                </c:pt>
                <c:pt idx="3">
                  <c:v>Order Missing</c:v>
                </c:pt>
                <c:pt idx="4">
                  <c:v>Pasta</c:v>
                </c:pt>
                <c:pt idx="5">
                  <c:v>Pizza</c:v>
                </c:pt>
                <c:pt idx="6">
                  <c:v>Salad</c:v>
                </c:pt>
                <c:pt idx="7">
                  <c:v>Sandwich</c:v>
                </c:pt>
                <c:pt idx="8">
                  <c:v>Sushi</c:v>
                </c:pt>
                <c:pt idx="9">
                  <c:v>Taco</c:v>
                </c:pt>
                <c:pt idx="10">
                  <c:v>Wrap</c:v>
                </c:pt>
              </c:strCache>
            </c:strRef>
          </c:cat>
          <c:val>
            <c:numRef>
              <c:f>Chart!$H$4:$H$15</c:f>
              <c:numCache>
                <c:formatCode>General</c:formatCode>
                <c:ptCount val="11"/>
                <c:pt idx="0">
                  <c:v>67</c:v>
                </c:pt>
                <c:pt idx="1">
                  <c:v>69</c:v>
                </c:pt>
                <c:pt idx="2">
                  <c:v>40</c:v>
                </c:pt>
                <c:pt idx="3">
                  <c:v>110</c:v>
                </c:pt>
                <c:pt idx="4">
                  <c:v>90</c:v>
                </c:pt>
                <c:pt idx="5">
                  <c:v>25</c:v>
                </c:pt>
                <c:pt idx="6">
                  <c:v>65</c:v>
                </c:pt>
                <c:pt idx="7">
                  <c:v>88</c:v>
                </c:pt>
                <c:pt idx="8">
                  <c:v>102</c:v>
                </c:pt>
                <c:pt idx="9">
                  <c:v>45</c:v>
                </c:pt>
                <c:pt idx="10">
                  <c:v>20</c:v>
                </c:pt>
              </c:numCache>
            </c:numRef>
          </c:val>
          <c:extLst>
            <c:ext xmlns:c16="http://schemas.microsoft.com/office/drawing/2014/chart" uri="{C3380CC4-5D6E-409C-BE32-E72D297353CC}">
              <c16:uniqueId val="{00000001-0BE1-4E74-B8E5-6B7C1E2765CD}"/>
            </c:ext>
          </c:extLst>
        </c:ser>
        <c:dLbls>
          <c:showLegendKey val="0"/>
          <c:showVal val="0"/>
          <c:showCatName val="0"/>
          <c:showSerName val="0"/>
          <c:showPercent val="0"/>
          <c:showBubbleSize val="0"/>
        </c:dLbls>
        <c:gapWidth val="219"/>
        <c:overlap val="-27"/>
        <c:axId val="1846235248"/>
        <c:axId val="1846235728"/>
      </c:barChart>
      <c:catAx>
        <c:axId val="1846235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6235728"/>
        <c:crosses val="autoZero"/>
        <c:auto val="1"/>
        <c:lblAlgn val="ctr"/>
        <c:lblOffset val="100"/>
        <c:noMultiLvlLbl val="0"/>
      </c:catAx>
      <c:valAx>
        <c:axId val="1846235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6235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 Capstone messy_restaurant_data.xlsx]Chart!PivotTable1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Dish_Ordered</a:t>
            </a:r>
            <a:r>
              <a:rPr lang="en-US" baseline="0"/>
              <a:t> Vs Date_Of_Visit Vs Sum_Price_of_Dish_Ordered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s>
    <c:plotArea>
      <c:layout/>
      <c:pieChart>
        <c:varyColors val="1"/>
        <c:ser>
          <c:idx val="0"/>
          <c:order val="0"/>
          <c:tx>
            <c:strRef>
              <c:f>Chart!$B$3:$B$6</c:f>
              <c:strCache>
                <c:ptCount val="1"/>
                <c:pt idx="0">
                  <c:v>Jan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15A-4839-A15F-683FD35F81C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15A-4839-A15F-683FD35F81C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15A-4839-A15F-683FD35F81C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15A-4839-A15F-683FD35F81C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15A-4839-A15F-683FD35F81C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15A-4839-A15F-683FD35F81C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15A-4839-A15F-683FD35F81C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715A-4839-A15F-683FD35F81CB}"/>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715A-4839-A15F-683FD35F81CB}"/>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715A-4839-A15F-683FD35F81CB}"/>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715A-4839-A15F-683FD35F81CB}"/>
              </c:ext>
            </c:extLst>
          </c:dPt>
          <c:cat>
            <c:strRef>
              <c:f>Chart!$A$7:$A$18</c:f>
              <c:strCache>
                <c:ptCount val="11"/>
                <c:pt idx="0">
                  <c:v>Burger</c:v>
                </c:pt>
                <c:pt idx="1">
                  <c:v>Fries</c:v>
                </c:pt>
                <c:pt idx="2">
                  <c:v>Nuggets</c:v>
                </c:pt>
                <c:pt idx="3">
                  <c:v>Order Missing</c:v>
                </c:pt>
                <c:pt idx="4">
                  <c:v>Pasta</c:v>
                </c:pt>
                <c:pt idx="5">
                  <c:v>Pizza</c:v>
                </c:pt>
                <c:pt idx="6">
                  <c:v>Salad</c:v>
                </c:pt>
                <c:pt idx="7">
                  <c:v>Sandwich</c:v>
                </c:pt>
                <c:pt idx="8">
                  <c:v>Sushi</c:v>
                </c:pt>
                <c:pt idx="9">
                  <c:v>Taco</c:v>
                </c:pt>
                <c:pt idx="10">
                  <c:v>Wrap</c:v>
                </c:pt>
              </c:strCache>
            </c:strRef>
          </c:cat>
          <c:val>
            <c:numRef>
              <c:f>Chart!$B$7:$B$18</c:f>
              <c:numCache>
                <c:formatCode>General</c:formatCode>
                <c:ptCount val="11"/>
                <c:pt idx="0">
                  <c:v>67</c:v>
                </c:pt>
                <c:pt idx="1">
                  <c:v>69</c:v>
                </c:pt>
                <c:pt idx="2">
                  <c:v>15</c:v>
                </c:pt>
                <c:pt idx="3">
                  <c:v>110</c:v>
                </c:pt>
                <c:pt idx="4">
                  <c:v>65</c:v>
                </c:pt>
                <c:pt idx="5">
                  <c:v>25</c:v>
                </c:pt>
                <c:pt idx="6">
                  <c:v>45</c:v>
                </c:pt>
                <c:pt idx="7">
                  <c:v>88</c:v>
                </c:pt>
                <c:pt idx="8">
                  <c:v>57</c:v>
                </c:pt>
                <c:pt idx="9">
                  <c:v>45</c:v>
                </c:pt>
                <c:pt idx="10">
                  <c:v>20</c:v>
                </c:pt>
              </c:numCache>
            </c:numRef>
          </c:val>
          <c:extLst>
            <c:ext xmlns:c16="http://schemas.microsoft.com/office/drawing/2014/chart" uri="{C3380CC4-5D6E-409C-BE32-E72D297353CC}">
              <c16:uniqueId val="{00000000-9825-4A2D-ACEF-0AB79CF25FD5}"/>
            </c:ext>
          </c:extLst>
        </c:ser>
        <c:ser>
          <c:idx val="1"/>
          <c:order val="1"/>
          <c:tx>
            <c:strRef>
              <c:f>Chart!$C$3:$C$6</c:f>
              <c:strCache>
                <c:ptCount val="1"/>
                <c:pt idx="0">
                  <c:v>Feb</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7-715A-4839-A15F-683FD35F81C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9-715A-4839-A15F-683FD35F81C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B-715A-4839-A15F-683FD35F81C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D-715A-4839-A15F-683FD35F81C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F-715A-4839-A15F-683FD35F81C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1-715A-4839-A15F-683FD35F81C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3-715A-4839-A15F-683FD35F81C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5-715A-4839-A15F-683FD35F81CB}"/>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27-715A-4839-A15F-683FD35F81CB}"/>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29-715A-4839-A15F-683FD35F81CB}"/>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2B-715A-4839-A15F-683FD35F81CB}"/>
              </c:ext>
            </c:extLst>
          </c:dPt>
          <c:cat>
            <c:strRef>
              <c:f>Chart!$A$7:$A$18</c:f>
              <c:strCache>
                <c:ptCount val="11"/>
                <c:pt idx="0">
                  <c:v>Burger</c:v>
                </c:pt>
                <c:pt idx="1">
                  <c:v>Fries</c:v>
                </c:pt>
                <c:pt idx="2">
                  <c:v>Nuggets</c:v>
                </c:pt>
                <c:pt idx="3">
                  <c:v>Order Missing</c:v>
                </c:pt>
                <c:pt idx="4">
                  <c:v>Pasta</c:v>
                </c:pt>
                <c:pt idx="5">
                  <c:v>Pizza</c:v>
                </c:pt>
                <c:pt idx="6">
                  <c:v>Salad</c:v>
                </c:pt>
                <c:pt idx="7">
                  <c:v>Sandwich</c:v>
                </c:pt>
                <c:pt idx="8">
                  <c:v>Sushi</c:v>
                </c:pt>
                <c:pt idx="9">
                  <c:v>Taco</c:v>
                </c:pt>
                <c:pt idx="10">
                  <c:v>Wrap</c:v>
                </c:pt>
              </c:strCache>
            </c:strRef>
          </c:cat>
          <c:val>
            <c:numRef>
              <c:f>Chart!$C$7:$C$18</c:f>
              <c:numCache>
                <c:formatCode>General</c:formatCode>
                <c:ptCount val="11"/>
                <c:pt idx="2">
                  <c:v>25</c:v>
                </c:pt>
                <c:pt idx="4">
                  <c:v>25</c:v>
                </c:pt>
                <c:pt idx="6">
                  <c:v>20</c:v>
                </c:pt>
                <c:pt idx="8">
                  <c:v>45</c:v>
                </c:pt>
              </c:numCache>
            </c:numRef>
          </c:val>
          <c:extLst>
            <c:ext xmlns:c16="http://schemas.microsoft.com/office/drawing/2014/chart" uri="{C3380CC4-5D6E-409C-BE32-E72D297353CC}">
              <c16:uniqueId val="{00000001-9825-4A2D-ACEF-0AB79CF25FD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 Capstone messy_restaurant_data.xlsx]Chart!PivotTable3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Vs Sum_Price_of_Dish_Ordered Vs Count_Quantity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Chart!$K$3</c:f>
              <c:strCache>
                <c:ptCount val="1"/>
                <c:pt idx="0">
                  <c:v>Sum of Price of Dish Ordered</c:v>
                </c:pt>
              </c:strCache>
            </c:strRef>
          </c:tx>
          <c:spPr>
            <a:solidFill>
              <a:schemeClr val="accent1"/>
            </a:solidFill>
            <a:ln>
              <a:noFill/>
            </a:ln>
            <a:effectLst/>
          </c:spPr>
          <c:invertIfNegative val="0"/>
          <c:cat>
            <c:strRef>
              <c:f>Chart!$J$4:$J$32</c:f>
              <c:strCache>
                <c:ptCount val="28"/>
                <c:pt idx="0">
                  <c:v>Alex Davis</c:v>
                </c:pt>
                <c:pt idx="1">
                  <c:v>Alex Smith</c:v>
                </c:pt>
                <c:pt idx="2">
                  <c:v>Chris Smith</c:v>
                </c:pt>
                <c:pt idx="3">
                  <c:v>Chris Williams</c:v>
                </c:pt>
                <c:pt idx="4">
                  <c:v>Emily Garcia</c:v>
                </c:pt>
                <c:pt idx="5">
                  <c:v>Emily Johnson</c:v>
                </c:pt>
                <c:pt idx="6">
                  <c:v>Emily Miller</c:v>
                </c:pt>
                <c:pt idx="7">
                  <c:v>James Brown</c:v>
                </c:pt>
                <c:pt idx="8">
                  <c:v>James Garcia</c:v>
                </c:pt>
                <c:pt idx="9">
                  <c:v>James Jones</c:v>
                </c:pt>
                <c:pt idx="10">
                  <c:v>James Martinez</c:v>
                </c:pt>
                <c:pt idx="11">
                  <c:v>James Rodriguez</c:v>
                </c:pt>
                <c:pt idx="12">
                  <c:v>Jane Brown</c:v>
                </c:pt>
                <c:pt idx="13">
                  <c:v>Jane Garcia</c:v>
                </c:pt>
                <c:pt idx="14">
                  <c:v>Jane Martinez</c:v>
                </c:pt>
                <c:pt idx="15">
                  <c:v>Jane Miller</c:v>
                </c:pt>
                <c:pt idx="16">
                  <c:v>Katie Johnson</c:v>
                </c:pt>
                <c:pt idx="17">
                  <c:v>Katie Jones</c:v>
                </c:pt>
                <c:pt idx="18">
                  <c:v>Katie Martinez</c:v>
                </c:pt>
                <c:pt idx="19">
                  <c:v>Laura Jones</c:v>
                </c:pt>
                <c:pt idx="20">
                  <c:v>Laura Williams</c:v>
                </c:pt>
                <c:pt idx="21">
                  <c:v>Michael Johnson</c:v>
                </c:pt>
                <c:pt idx="22">
                  <c:v>Michael Williams</c:v>
                </c:pt>
                <c:pt idx="23">
                  <c:v>Name Missing</c:v>
                </c:pt>
                <c:pt idx="24">
                  <c:v>Sarah Jones</c:v>
                </c:pt>
                <c:pt idx="25">
                  <c:v>Sarah Miller</c:v>
                </c:pt>
                <c:pt idx="26">
                  <c:v>Sarah Rodriguez</c:v>
                </c:pt>
                <c:pt idx="27">
                  <c:v>Sarah Williams</c:v>
                </c:pt>
              </c:strCache>
            </c:strRef>
          </c:cat>
          <c:val>
            <c:numRef>
              <c:f>Chart!$K$4:$K$32</c:f>
              <c:numCache>
                <c:formatCode>General</c:formatCode>
                <c:ptCount val="28"/>
                <c:pt idx="0">
                  <c:v>5</c:v>
                </c:pt>
                <c:pt idx="1">
                  <c:v>25</c:v>
                </c:pt>
                <c:pt idx="2">
                  <c:v>5</c:v>
                </c:pt>
                <c:pt idx="3">
                  <c:v>20</c:v>
                </c:pt>
                <c:pt idx="4">
                  <c:v>30</c:v>
                </c:pt>
                <c:pt idx="5">
                  <c:v>20</c:v>
                </c:pt>
                <c:pt idx="6">
                  <c:v>25</c:v>
                </c:pt>
                <c:pt idx="7">
                  <c:v>38</c:v>
                </c:pt>
                <c:pt idx="8">
                  <c:v>15</c:v>
                </c:pt>
                <c:pt idx="9">
                  <c:v>15</c:v>
                </c:pt>
                <c:pt idx="10">
                  <c:v>20</c:v>
                </c:pt>
                <c:pt idx="11">
                  <c:v>45</c:v>
                </c:pt>
                <c:pt idx="12">
                  <c:v>20</c:v>
                </c:pt>
                <c:pt idx="13">
                  <c:v>25</c:v>
                </c:pt>
                <c:pt idx="14">
                  <c:v>25</c:v>
                </c:pt>
                <c:pt idx="15">
                  <c:v>25</c:v>
                </c:pt>
                <c:pt idx="16">
                  <c:v>20</c:v>
                </c:pt>
                <c:pt idx="17">
                  <c:v>25</c:v>
                </c:pt>
                <c:pt idx="18">
                  <c:v>17</c:v>
                </c:pt>
                <c:pt idx="19">
                  <c:v>30</c:v>
                </c:pt>
                <c:pt idx="20">
                  <c:v>20</c:v>
                </c:pt>
                <c:pt idx="21">
                  <c:v>5</c:v>
                </c:pt>
                <c:pt idx="22">
                  <c:v>10</c:v>
                </c:pt>
                <c:pt idx="23">
                  <c:v>176</c:v>
                </c:pt>
                <c:pt idx="24">
                  <c:v>10</c:v>
                </c:pt>
                <c:pt idx="25">
                  <c:v>5</c:v>
                </c:pt>
                <c:pt idx="26">
                  <c:v>25</c:v>
                </c:pt>
                <c:pt idx="27">
                  <c:v>20</c:v>
                </c:pt>
              </c:numCache>
            </c:numRef>
          </c:val>
          <c:extLst>
            <c:ext xmlns:c16="http://schemas.microsoft.com/office/drawing/2014/chart" uri="{C3380CC4-5D6E-409C-BE32-E72D297353CC}">
              <c16:uniqueId val="{00000000-082E-478C-9A4C-B8E0DEE9628C}"/>
            </c:ext>
          </c:extLst>
        </c:ser>
        <c:ser>
          <c:idx val="1"/>
          <c:order val="1"/>
          <c:tx>
            <c:strRef>
              <c:f>Chart!$L$3</c:f>
              <c:strCache>
                <c:ptCount val="1"/>
                <c:pt idx="0">
                  <c:v>Count of Quantity</c:v>
                </c:pt>
              </c:strCache>
            </c:strRef>
          </c:tx>
          <c:spPr>
            <a:solidFill>
              <a:schemeClr val="accent2"/>
            </a:solidFill>
            <a:ln>
              <a:noFill/>
            </a:ln>
            <a:effectLst/>
          </c:spPr>
          <c:invertIfNegative val="0"/>
          <c:cat>
            <c:strRef>
              <c:f>Chart!$J$4:$J$32</c:f>
              <c:strCache>
                <c:ptCount val="28"/>
                <c:pt idx="0">
                  <c:v>Alex Davis</c:v>
                </c:pt>
                <c:pt idx="1">
                  <c:v>Alex Smith</c:v>
                </c:pt>
                <c:pt idx="2">
                  <c:v>Chris Smith</c:v>
                </c:pt>
                <c:pt idx="3">
                  <c:v>Chris Williams</c:v>
                </c:pt>
                <c:pt idx="4">
                  <c:v>Emily Garcia</c:v>
                </c:pt>
                <c:pt idx="5">
                  <c:v>Emily Johnson</c:v>
                </c:pt>
                <c:pt idx="6">
                  <c:v>Emily Miller</c:v>
                </c:pt>
                <c:pt idx="7">
                  <c:v>James Brown</c:v>
                </c:pt>
                <c:pt idx="8">
                  <c:v>James Garcia</c:v>
                </c:pt>
                <c:pt idx="9">
                  <c:v>James Jones</c:v>
                </c:pt>
                <c:pt idx="10">
                  <c:v>James Martinez</c:v>
                </c:pt>
                <c:pt idx="11">
                  <c:v>James Rodriguez</c:v>
                </c:pt>
                <c:pt idx="12">
                  <c:v>Jane Brown</c:v>
                </c:pt>
                <c:pt idx="13">
                  <c:v>Jane Garcia</c:v>
                </c:pt>
                <c:pt idx="14">
                  <c:v>Jane Martinez</c:v>
                </c:pt>
                <c:pt idx="15">
                  <c:v>Jane Miller</c:v>
                </c:pt>
                <c:pt idx="16">
                  <c:v>Katie Johnson</c:v>
                </c:pt>
                <c:pt idx="17">
                  <c:v>Katie Jones</c:v>
                </c:pt>
                <c:pt idx="18">
                  <c:v>Katie Martinez</c:v>
                </c:pt>
                <c:pt idx="19">
                  <c:v>Laura Jones</c:v>
                </c:pt>
                <c:pt idx="20">
                  <c:v>Laura Williams</c:v>
                </c:pt>
                <c:pt idx="21">
                  <c:v>Michael Johnson</c:v>
                </c:pt>
                <c:pt idx="22">
                  <c:v>Michael Williams</c:v>
                </c:pt>
                <c:pt idx="23">
                  <c:v>Name Missing</c:v>
                </c:pt>
                <c:pt idx="24">
                  <c:v>Sarah Jones</c:v>
                </c:pt>
                <c:pt idx="25">
                  <c:v>Sarah Miller</c:v>
                </c:pt>
                <c:pt idx="26">
                  <c:v>Sarah Rodriguez</c:v>
                </c:pt>
                <c:pt idx="27">
                  <c:v>Sarah Williams</c:v>
                </c:pt>
              </c:strCache>
            </c:strRef>
          </c:cat>
          <c:val>
            <c:numRef>
              <c:f>Chart!$L$4:$L$32</c:f>
              <c:numCache>
                <c:formatCode>General</c:formatCode>
                <c:ptCount val="28"/>
                <c:pt idx="0">
                  <c:v>1</c:v>
                </c:pt>
                <c:pt idx="1">
                  <c:v>1</c:v>
                </c:pt>
                <c:pt idx="2">
                  <c:v>1</c:v>
                </c:pt>
                <c:pt idx="3">
                  <c:v>1</c:v>
                </c:pt>
                <c:pt idx="4">
                  <c:v>2</c:v>
                </c:pt>
                <c:pt idx="5">
                  <c:v>1</c:v>
                </c:pt>
                <c:pt idx="6">
                  <c:v>1</c:v>
                </c:pt>
                <c:pt idx="7">
                  <c:v>2</c:v>
                </c:pt>
                <c:pt idx="8">
                  <c:v>1</c:v>
                </c:pt>
                <c:pt idx="9">
                  <c:v>1</c:v>
                </c:pt>
                <c:pt idx="10">
                  <c:v>1</c:v>
                </c:pt>
                <c:pt idx="11">
                  <c:v>2</c:v>
                </c:pt>
                <c:pt idx="12">
                  <c:v>2</c:v>
                </c:pt>
                <c:pt idx="13">
                  <c:v>1</c:v>
                </c:pt>
                <c:pt idx="14">
                  <c:v>1</c:v>
                </c:pt>
                <c:pt idx="15">
                  <c:v>1</c:v>
                </c:pt>
                <c:pt idx="16">
                  <c:v>1</c:v>
                </c:pt>
                <c:pt idx="17">
                  <c:v>2</c:v>
                </c:pt>
                <c:pt idx="18">
                  <c:v>1</c:v>
                </c:pt>
                <c:pt idx="19">
                  <c:v>2</c:v>
                </c:pt>
                <c:pt idx="20">
                  <c:v>1</c:v>
                </c:pt>
                <c:pt idx="21">
                  <c:v>1</c:v>
                </c:pt>
                <c:pt idx="22">
                  <c:v>1</c:v>
                </c:pt>
                <c:pt idx="23">
                  <c:v>10</c:v>
                </c:pt>
                <c:pt idx="24">
                  <c:v>1</c:v>
                </c:pt>
                <c:pt idx="25">
                  <c:v>1</c:v>
                </c:pt>
                <c:pt idx="26">
                  <c:v>2</c:v>
                </c:pt>
                <c:pt idx="27">
                  <c:v>2</c:v>
                </c:pt>
              </c:numCache>
            </c:numRef>
          </c:val>
          <c:extLst>
            <c:ext xmlns:c16="http://schemas.microsoft.com/office/drawing/2014/chart" uri="{C3380CC4-5D6E-409C-BE32-E72D297353CC}">
              <c16:uniqueId val="{00000001-082E-478C-9A4C-B8E0DEE9628C}"/>
            </c:ext>
          </c:extLst>
        </c:ser>
        <c:dLbls>
          <c:showLegendKey val="0"/>
          <c:showVal val="0"/>
          <c:showCatName val="0"/>
          <c:showSerName val="0"/>
          <c:showPercent val="0"/>
          <c:showBubbleSize val="0"/>
        </c:dLbls>
        <c:gapWidth val="150"/>
        <c:overlap val="100"/>
        <c:axId val="2034216784"/>
        <c:axId val="2034220144"/>
      </c:barChart>
      <c:catAx>
        <c:axId val="2034216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220144"/>
        <c:crosses val="autoZero"/>
        <c:auto val="1"/>
        <c:lblAlgn val="ctr"/>
        <c:lblOffset val="100"/>
        <c:noMultiLvlLbl val="0"/>
      </c:catAx>
      <c:valAx>
        <c:axId val="20342201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216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 Capstone messy_restaurant_data.xlsx]Chart!PivotTable4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Date_of_Vist</a:t>
            </a:r>
            <a:r>
              <a:rPr lang="en-US" baseline="0"/>
              <a:t> Vs Sum_Price_of_Dish_Ordered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Chart!$B$22</c:f>
              <c:strCache>
                <c:ptCount val="1"/>
                <c:pt idx="0">
                  <c:v>Total</c:v>
                </c:pt>
              </c:strCache>
            </c:strRef>
          </c:tx>
          <c:spPr>
            <a:solidFill>
              <a:schemeClr val="accent1"/>
            </a:solidFill>
            <a:ln>
              <a:noFill/>
            </a:ln>
            <a:effectLst/>
          </c:spPr>
          <c:cat>
            <c:strRef>
              <c:f>Chart!$A$23:$A$25</c:f>
              <c:strCache>
                <c:ptCount val="2"/>
                <c:pt idx="0">
                  <c:v>Jan</c:v>
                </c:pt>
                <c:pt idx="1">
                  <c:v>Feb</c:v>
                </c:pt>
              </c:strCache>
            </c:strRef>
          </c:cat>
          <c:val>
            <c:numRef>
              <c:f>Chart!$B$23:$B$25</c:f>
              <c:numCache>
                <c:formatCode>General</c:formatCode>
                <c:ptCount val="2"/>
                <c:pt idx="0">
                  <c:v>606</c:v>
                </c:pt>
                <c:pt idx="1">
                  <c:v>115</c:v>
                </c:pt>
              </c:numCache>
            </c:numRef>
          </c:val>
          <c:extLst>
            <c:ext xmlns:c16="http://schemas.microsoft.com/office/drawing/2014/chart" uri="{C3380CC4-5D6E-409C-BE32-E72D297353CC}">
              <c16:uniqueId val="{00000000-BC45-4A1D-8C64-B67C4063FBDB}"/>
            </c:ext>
          </c:extLst>
        </c:ser>
        <c:dLbls>
          <c:showLegendKey val="0"/>
          <c:showVal val="0"/>
          <c:showCatName val="0"/>
          <c:showSerName val="0"/>
          <c:showPercent val="0"/>
          <c:showBubbleSize val="0"/>
        </c:dLbls>
        <c:axId val="727098127"/>
        <c:axId val="727081807"/>
      </c:areaChart>
      <c:catAx>
        <c:axId val="7270981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7081807"/>
        <c:crosses val="autoZero"/>
        <c:auto val="1"/>
        <c:lblAlgn val="ctr"/>
        <c:lblOffset val="100"/>
        <c:noMultiLvlLbl val="0"/>
      </c:catAx>
      <c:valAx>
        <c:axId val="727081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709812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 Capstone messy_restaurant_data.xlsx]Chart!PivotTable1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Dish_Ordered</a:t>
            </a:r>
            <a:r>
              <a:rPr lang="en-US" baseline="0"/>
              <a:t> Vs Date_Of_Visit Vs Sum_Price_of_Dish_Ordered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s>
    <c:plotArea>
      <c:layout/>
      <c:pieChart>
        <c:varyColors val="1"/>
        <c:ser>
          <c:idx val="0"/>
          <c:order val="0"/>
          <c:tx>
            <c:strRef>
              <c:f>Chart!$B$3:$B$6</c:f>
              <c:strCache>
                <c:ptCount val="1"/>
                <c:pt idx="0">
                  <c:v>Jan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CB2-45A3-8A74-BE444583E0B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CB2-45A3-8A74-BE444583E0B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CB2-45A3-8A74-BE444583E0B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CB2-45A3-8A74-BE444583E0B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CB2-45A3-8A74-BE444583E0B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CB2-45A3-8A74-BE444583E0B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CB2-45A3-8A74-BE444583E0B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8CB2-45A3-8A74-BE444583E0B6}"/>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8CB2-45A3-8A74-BE444583E0B6}"/>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8CB2-45A3-8A74-BE444583E0B6}"/>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8CB2-45A3-8A74-BE444583E0B6}"/>
              </c:ext>
            </c:extLst>
          </c:dPt>
          <c:cat>
            <c:strRef>
              <c:f>Chart!$A$7:$A$18</c:f>
              <c:strCache>
                <c:ptCount val="11"/>
                <c:pt idx="0">
                  <c:v>Burger</c:v>
                </c:pt>
                <c:pt idx="1">
                  <c:v>Fries</c:v>
                </c:pt>
                <c:pt idx="2">
                  <c:v>Nuggets</c:v>
                </c:pt>
                <c:pt idx="3">
                  <c:v>Order Missing</c:v>
                </c:pt>
                <c:pt idx="4">
                  <c:v>Pasta</c:v>
                </c:pt>
                <c:pt idx="5">
                  <c:v>Pizza</c:v>
                </c:pt>
                <c:pt idx="6">
                  <c:v>Salad</c:v>
                </c:pt>
                <c:pt idx="7">
                  <c:v>Sandwich</c:v>
                </c:pt>
                <c:pt idx="8">
                  <c:v>Sushi</c:v>
                </c:pt>
                <c:pt idx="9">
                  <c:v>Taco</c:v>
                </c:pt>
                <c:pt idx="10">
                  <c:v>Wrap</c:v>
                </c:pt>
              </c:strCache>
            </c:strRef>
          </c:cat>
          <c:val>
            <c:numRef>
              <c:f>Chart!$B$7:$B$18</c:f>
              <c:numCache>
                <c:formatCode>General</c:formatCode>
                <c:ptCount val="11"/>
                <c:pt idx="0">
                  <c:v>67</c:v>
                </c:pt>
                <c:pt idx="1">
                  <c:v>69</c:v>
                </c:pt>
                <c:pt idx="2">
                  <c:v>15</c:v>
                </c:pt>
                <c:pt idx="3">
                  <c:v>110</c:v>
                </c:pt>
                <c:pt idx="4">
                  <c:v>65</c:v>
                </c:pt>
                <c:pt idx="5">
                  <c:v>25</c:v>
                </c:pt>
                <c:pt idx="6">
                  <c:v>45</c:v>
                </c:pt>
                <c:pt idx="7">
                  <c:v>88</c:v>
                </c:pt>
                <c:pt idx="8">
                  <c:v>57</c:v>
                </c:pt>
                <c:pt idx="9">
                  <c:v>45</c:v>
                </c:pt>
                <c:pt idx="10">
                  <c:v>20</c:v>
                </c:pt>
              </c:numCache>
            </c:numRef>
          </c:val>
          <c:extLst>
            <c:ext xmlns:c16="http://schemas.microsoft.com/office/drawing/2014/chart" uri="{C3380CC4-5D6E-409C-BE32-E72D297353CC}">
              <c16:uniqueId val="{00000016-8CB2-45A3-8A74-BE444583E0B6}"/>
            </c:ext>
          </c:extLst>
        </c:ser>
        <c:ser>
          <c:idx val="1"/>
          <c:order val="1"/>
          <c:tx>
            <c:strRef>
              <c:f>Chart!$C$3:$C$6</c:f>
              <c:strCache>
                <c:ptCount val="1"/>
                <c:pt idx="0">
                  <c:v>Feb</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8-8CB2-45A3-8A74-BE444583E0B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A-8CB2-45A3-8A74-BE444583E0B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C-8CB2-45A3-8A74-BE444583E0B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E-8CB2-45A3-8A74-BE444583E0B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0-8CB2-45A3-8A74-BE444583E0B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2-8CB2-45A3-8A74-BE444583E0B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4-8CB2-45A3-8A74-BE444583E0B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6-8CB2-45A3-8A74-BE444583E0B6}"/>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28-8CB2-45A3-8A74-BE444583E0B6}"/>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2A-8CB2-45A3-8A74-BE444583E0B6}"/>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2C-8CB2-45A3-8A74-BE444583E0B6}"/>
              </c:ext>
            </c:extLst>
          </c:dPt>
          <c:cat>
            <c:strRef>
              <c:f>Chart!$A$7:$A$18</c:f>
              <c:strCache>
                <c:ptCount val="11"/>
                <c:pt idx="0">
                  <c:v>Burger</c:v>
                </c:pt>
                <c:pt idx="1">
                  <c:v>Fries</c:v>
                </c:pt>
                <c:pt idx="2">
                  <c:v>Nuggets</c:v>
                </c:pt>
                <c:pt idx="3">
                  <c:v>Order Missing</c:v>
                </c:pt>
                <c:pt idx="4">
                  <c:v>Pasta</c:v>
                </c:pt>
                <c:pt idx="5">
                  <c:v>Pizza</c:v>
                </c:pt>
                <c:pt idx="6">
                  <c:v>Salad</c:v>
                </c:pt>
                <c:pt idx="7">
                  <c:v>Sandwich</c:v>
                </c:pt>
                <c:pt idx="8">
                  <c:v>Sushi</c:v>
                </c:pt>
                <c:pt idx="9">
                  <c:v>Taco</c:v>
                </c:pt>
                <c:pt idx="10">
                  <c:v>Wrap</c:v>
                </c:pt>
              </c:strCache>
            </c:strRef>
          </c:cat>
          <c:val>
            <c:numRef>
              <c:f>Chart!$C$7:$C$18</c:f>
              <c:numCache>
                <c:formatCode>General</c:formatCode>
                <c:ptCount val="11"/>
                <c:pt idx="2">
                  <c:v>25</c:v>
                </c:pt>
                <c:pt idx="4">
                  <c:v>25</c:v>
                </c:pt>
                <c:pt idx="6">
                  <c:v>20</c:v>
                </c:pt>
                <c:pt idx="8">
                  <c:v>45</c:v>
                </c:pt>
              </c:numCache>
            </c:numRef>
          </c:val>
          <c:extLst>
            <c:ext xmlns:c16="http://schemas.microsoft.com/office/drawing/2014/chart" uri="{C3380CC4-5D6E-409C-BE32-E72D297353CC}">
              <c16:uniqueId val="{0000002D-8CB2-45A3-8A74-BE444583E0B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accent1"/>
      </a:solidFill>
      <a:round/>
    </a:ln>
    <a:effectLst>
      <a:outerShdw blurRad="50800" dist="38100" dir="10800000" algn="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 Capstone messy_restaurant_data.xlsx]Chart!PivotTable3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Vs Sum_Price_of_Dish_Ordered Vs Count_Quantity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Chart!$K$3</c:f>
              <c:strCache>
                <c:ptCount val="1"/>
                <c:pt idx="0">
                  <c:v>Sum of Price of Dish Ordered</c:v>
                </c:pt>
              </c:strCache>
            </c:strRef>
          </c:tx>
          <c:spPr>
            <a:solidFill>
              <a:schemeClr val="accent1"/>
            </a:solidFill>
            <a:ln>
              <a:noFill/>
            </a:ln>
            <a:effectLst/>
          </c:spPr>
          <c:invertIfNegative val="0"/>
          <c:cat>
            <c:strRef>
              <c:f>Chart!$J$4:$J$32</c:f>
              <c:strCache>
                <c:ptCount val="28"/>
                <c:pt idx="0">
                  <c:v>Alex Davis</c:v>
                </c:pt>
                <c:pt idx="1">
                  <c:v>Alex Smith</c:v>
                </c:pt>
                <c:pt idx="2">
                  <c:v>Chris Smith</c:v>
                </c:pt>
                <c:pt idx="3">
                  <c:v>Chris Williams</c:v>
                </c:pt>
                <c:pt idx="4">
                  <c:v>Emily Garcia</c:v>
                </c:pt>
                <c:pt idx="5">
                  <c:v>Emily Johnson</c:v>
                </c:pt>
                <c:pt idx="6">
                  <c:v>Emily Miller</c:v>
                </c:pt>
                <c:pt idx="7">
                  <c:v>James Brown</c:v>
                </c:pt>
                <c:pt idx="8">
                  <c:v>James Garcia</c:v>
                </c:pt>
                <c:pt idx="9">
                  <c:v>James Jones</c:v>
                </c:pt>
                <c:pt idx="10">
                  <c:v>James Martinez</c:v>
                </c:pt>
                <c:pt idx="11">
                  <c:v>James Rodriguez</c:v>
                </c:pt>
                <c:pt idx="12">
                  <c:v>Jane Brown</c:v>
                </c:pt>
                <c:pt idx="13">
                  <c:v>Jane Garcia</c:v>
                </c:pt>
                <c:pt idx="14">
                  <c:v>Jane Martinez</c:v>
                </c:pt>
                <c:pt idx="15">
                  <c:v>Jane Miller</c:v>
                </c:pt>
                <c:pt idx="16">
                  <c:v>Katie Johnson</c:v>
                </c:pt>
                <c:pt idx="17">
                  <c:v>Katie Jones</c:v>
                </c:pt>
                <c:pt idx="18">
                  <c:v>Katie Martinez</c:v>
                </c:pt>
                <c:pt idx="19">
                  <c:v>Laura Jones</c:v>
                </c:pt>
                <c:pt idx="20">
                  <c:v>Laura Williams</c:v>
                </c:pt>
                <c:pt idx="21">
                  <c:v>Michael Johnson</c:v>
                </c:pt>
                <c:pt idx="22">
                  <c:v>Michael Williams</c:v>
                </c:pt>
                <c:pt idx="23">
                  <c:v>Name Missing</c:v>
                </c:pt>
                <c:pt idx="24">
                  <c:v>Sarah Jones</c:v>
                </c:pt>
                <c:pt idx="25">
                  <c:v>Sarah Miller</c:v>
                </c:pt>
                <c:pt idx="26">
                  <c:v>Sarah Rodriguez</c:v>
                </c:pt>
                <c:pt idx="27">
                  <c:v>Sarah Williams</c:v>
                </c:pt>
              </c:strCache>
            </c:strRef>
          </c:cat>
          <c:val>
            <c:numRef>
              <c:f>Chart!$K$4:$K$32</c:f>
              <c:numCache>
                <c:formatCode>General</c:formatCode>
                <c:ptCount val="28"/>
                <c:pt idx="0">
                  <c:v>5</c:v>
                </c:pt>
                <c:pt idx="1">
                  <c:v>25</c:v>
                </c:pt>
                <c:pt idx="2">
                  <c:v>5</c:v>
                </c:pt>
                <c:pt idx="3">
                  <c:v>20</c:v>
                </c:pt>
                <c:pt idx="4">
                  <c:v>30</c:v>
                </c:pt>
                <c:pt idx="5">
                  <c:v>20</c:v>
                </c:pt>
                <c:pt idx="6">
                  <c:v>25</c:v>
                </c:pt>
                <c:pt idx="7">
                  <c:v>38</c:v>
                </c:pt>
                <c:pt idx="8">
                  <c:v>15</c:v>
                </c:pt>
                <c:pt idx="9">
                  <c:v>15</c:v>
                </c:pt>
                <c:pt idx="10">
                  <c:v>20</c:v>
                </c:pt>
                <c:pt idx="11">
                  <c:v>45</c:v>
                </c:pt>
                <c:pt idx="12">
                  <c:v>20</c:v>
                </c:pt>
                <c:pt idx="13">
                  <c:v>25</c:v>
                </c:pt>
                <c:pt idx="14">
                  <c:v>25</c:v>
                </c:pt>
                <c:pt idx="15">
                  <c:v>25</c:v>
                </c:pt>
                <c:pt idx="16">
                  <c:v>20</c:v>
                </c:pt>
                <c:pt idx="17">
                  <c:v>25</c:v>
                </c:pt>
                <c:pt idx="18">
                  <c:v>17</c:v>
                </c:pt>
                <c:pt idx="19">
                  <c:v>30</c:v>
                </c:pt>
                <c:pt idx="20">
                  <c:v>20</c:v>
                </c:pt>
                <c:pt idx="21">
                  <c:v>5</c:v>
                </c:pt>
                <c:pt idx="22">
                  <c:v>10</c:v>
                </c:pt>
                <c:pt idx="23">
                  <c:v>176</c:v>
                </c:pt>
                <c:pt idx="24">
                  <c:v>10</c:v>
                </c:pt>
                <c:pt idx="25">
                  <c:v>5</c:v>
                </c:pt>
                <c:pt idx="26">
                  <c:v>25</c:v>
                </c:pt>
                <c:pt idx="27">
                  <c:v>20</c:v>
                </c:pt>
              </c:numCache>
            </c:numRef>
          </c:val>
          <c:extLst>
            <c:ext xmlns:c16="http://schemas.microsoft.com/office/drawing/2014/chart" uri="{C3380CC4-5D6E-409C-BE32-E72D297353CC}">
              <c16:uniqueId val="{00000000-ED32-4C6E-88C3-DBEA754B7AB4}"/>
            </c:ext>
          </c:extLst>
        </c:ser>
        <c:ser>
          <c:idx val="1"/>
          <c:order val="1"/>
          <c:tx>
            <c:strRef>
              <c:f>Chart!$L$3</c:f>
              <c:strCache>
                <c:ptCount val="1"/>
                <c:pt idx="0">
                  <c:v>Count of Quantity</c:v>
                </c:pt>
              </c:strCache>
            </c:strRef>
          </c:tx>
          <c:spPr>
            <a:solidFill>
              <a:schemeClr val="accent2"/>
            </a:solidFill>
            <a:ln>
              <a:noFill/>
            </a:ln>
            <a:effectLst/>
          </c:spPr>
          <c:invertIfNegative val="0"/>
          <c:cat>
            <c:strRef>
              <c:f>Chart!$J$4:$J$32</c:f>
              <c:strCache>
                <c:ptCount val="28"/>
                <c:pt idx="0">
                  <c:v>Alex Davis</c:v>
                </c:pt>
                <c:pt idx="1">
                  <c:v>Alex Smith</c:v>
                </c:pt>
                <c:pt idx="2">
                  <c:v>Chris Smith</c:v>
                </c:pt>
                <c:pt idx="3">
                  <c:v>Chris Williams</c:v>
                </c:pt>
                <c:pt idx="4">
                  <c:v>Emily Garcia</c:v>
                </c:pt>
                <c:pt idx="5">
                  <c:v>Emily Johnson</c:v>
                </c:pt>
                <c:pt idx="6">
                  <c:v>Emily Miller</c:v>
                </c:pt>
                <c:pt idx="7">
                  <c:v>James Brown</c:v>
                </c:pt>
                <c:pt idx="8">
                  <c:v>James Garcia</c:v>
                </c:pt>
                <c:pt idx="9">
                  <c:v>James Jones</c:v>
                </c:pt>
                <c:pt idx="10">
                  <c:v>James Martinez</c:v>
                </c:pt>
                <c:pt idx="11">
                  <c:v>James Rodriguez</c:v>
                </c:pt>
                <c:pt idx="12">
                  <c:v>Jane Brown</c:v>
                </c:pt>
                <c:pt idx="13">
                  <c:v>Jane Garcia</c:v>
                </c:pt>
                <c:pt idx="14">
                  <c:v>Jane Martinez</c:v>
                </c:pt>
                <c:pt idx="15">
                  <c:v>Jane Miller</c:v>
                </c:pt>
                <c:pt idx="16">
                  <c:v>Katie Johnson</c:v>
                </c:pt>
                <c:pt idx="17">
                  <c:v>Katie Jones</c:v>
                </c:pt>
                <c:pt idx="18">
                  <c:v>Katie Martinez</c:v>
                </c:pt>
                <c:pt idx="19">
                  <c:v>Laura Jones</c:v>
                </c:pt>
                <c:pt idx="20">
                  <c:v>Laura Williams</c:v>
                </c:pt>
                <c:pt idx="21">
                  <c:v>Michael Johnson</c:v>
                </c:pt>
                <c:pt idx="22">
                  <c:v>Michael Williams</c:v>
                </c:pt>
                <c:pt idx="23">
                  <c:v>Name Missing</c:v>
                </c:pt>
                <c:pt idx="24">
                  <c:v>Sarah Jones</c:v>
                </c:pt>
                <c:pt idx="25">
                  <c:v>Sarah Miller</c:v>
                </c:pt>
                <c:pt idx="26">
                  <c:v>Sarah Rodriguez</c:v>
                </c:pt>
                <c:pt idx="27">
                  <c:v>Sarah Williams</c:v>
                </c:pt>
              </c:strCache>
            </c:strRef>
          </c:cat>
          <c:val>
            <c:numRef>
              <c:f>Chart!$L$4:$L$32</c:f>
              <c:numCache>
                <c:formatCode>General</c:formatCode>
                <c:ptCount val="28"/>
                <c:pt idx="0">
                  <c:v>1</c:v>
                </c:pt>
                <c:pt idx="1">
                  <c:v>1</c:v>
                </c:pt>
                <c:pt idx="2">
                  <c:v>1</c:v>
                </c:pt>
                <c:pt idx="3">
                  <c:v>1</c:v>
                </c:pt>
                <c:pt idx="4">
                  <c:v>2</c:v>
                </c:pt>
                <c:pt idx="5">
                  <c:v>1</c:v>
                </c:pt>
                <c:pt idx="6">
                  <c:v>1</c:v>
                </c:pt>
                <c:pt idx="7">
                  <c:v>2</c:v>
                </c:pt>
                <c:pt idx="8">
                  <c:v>1</c:v>
                </c:pt>
                <c:pt idx="9">
                  <c:v>1</c:v>
                </c:pt>
                <c:pt idx="10">
                  <c:v>1</c:v>
                </c:pt>
                <c:pt idx="11">
                  <c:v>2</c:v>
                </c:pt>
                <c:pt idx="12">
                  <c:v>2</c:v>
                </c:pt>
                <c:pt idx="13">
                  <c:v>1</c:v>
                </c:pt>
                <c:pt idx="14">
                  <c:v>1</c:v>
                </c:pt>
                <c:pt idx="15">
                  <c:v>1</c:v>
                </c:pt>
                <c:pt idx="16">
                  <c:v>1</c:v>
                </c:pt>
                <c:pt idx="17">
                  <c:v>2</c:v>
                </c:pt>
                <c:pt idx="18">
                  <c:v>1</c:v>
                </c:pt>
                <c:pt idx="19">
                  <c:v>2</c:v>
                </c:pt>
                <c:pt idx="20">
                  <c:v>1</c:v>
                </c:pt>
                <c:pt idx="21">
                  <c:v>1</c:v>
                </c:pt>
                <c:pt idx="22">
                  <c:v>1</c:v>
                </c:pt>
                <c:pt idx="23">
                  <c:v>10</c:v>
                </c:pt>
                <c:pt idx="24">
                  <c:v>1</c:v>
                </c:pt>
                <c:pt idx="25">
                  <c:v>1</c:v>
                </c:pt>
                <c:pt idx="26">
                  <c:v>2</c:v>
                </c:pt>
                <c:pt idx="27">
                  <c:v>2</c:v>
                </c:pt>
              </c:numCache>
            </c:numRef>
          </c:val>
          <c:extLst>
            <c:ext xmlns:c16="http://schemas.microsoft.com/office/drawing/2014/chart" uri="{C3380CC4-5D6E-409C-BE32-E72D297353CC}">
              <c16:uniqueId val="{00000001-ED32-4C6E-88C3-DBEA754B7AB4}"/>
            </c:ext>
          </c:extLst>
        </c:ser>
        <c:dLbls>
          <c:showLegendKey val="0"/>
          <c:showVal val="0"/>
          <c:showCatName val="0"/>
          <c:showSerName val="0"/>
          <c:showPercent val="0"/>
          <c:showBubbleSize val="0"/>
        </c:dLbls>
        <c:gapWidth val="150"/>
        <c:overlap val="100"/>
        <c:axId val="2034216784"/>
        <c:axId val="2034220144"/>
      </c:barChart>
      <c:catAx>
        <c:axId val="2034216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220144"/>
        <c:crosses val="autoZero"/>
        <c:auto val="1"/>
        <c:lblAlgn val="ctr"/>
        <c:lblOffset val="100"/>
        <c:noMultiLvlLbl val="0"/>
      </c:catAx>
      <c:valAx>
        <c:axId val="20342201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216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accent1"/>
      </a:solidFill>
      <a:round/>
    </a:ln>
    <a:effectLst>
      <a:outerShdw blurRad="50800" dist="38100" dir="13500000" algn="b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 Capstone messy_restaurant_data.xlsx]Chart!PivotTable2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Dish_Ordered</a:t>
            </a:r>
            <a:r>
              <a:rPr lang="en-US" baseline="0"/>
              <a:t> Vs Sum_Price_Of_Dish_Ordered Vs Sum_Quantity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Chart!$G$3</c:f>
              <c:strCache>
                <c:ptCount val="1"/>
                <c:pt idx="0">
                  <c:v>Sum of Quantity</c:v>
                </c:pt>
              </c:strCache>
            </c:strRef>
          </c:tx>
          <c:spPr>
            <a:solidFill>
              <a:schemeClr val="accent1"/>
            </a:solidFill>
            <a:ln>
              <a:noFill/>
            </a:ln>
            <a:effectLst/>
          </c:spPr>
          <c:invertIfNegative val="0"/>
          <c:cat>
            <c:strRef>
              <c:f>Chart!$F$4:$F$15</c:f>
              <c:strCache>
                <c:ptCount val="11"/>
                <c:pt idx="0">
                  <c:v>Burger</c:v>
                </c:pt>
                <c:pt idx="1">
                  <c:v>Fries</c:v>
                </c:pt>
                <c:pt idx="2">
                  <c:v>Nuggets</c:v>
                </c:pt>
                <c:pt idx="3">
                  <c:v>Order Missing</c:v>
                </c:pt>
                <c:pt idx="4">
                  <c:v>Pasta</c:v>
                </c:pt>
                <c:pt idx="5">
                  <c:v>Pizza</c:v>
                </c:pt>
                <c:pt idx="6">
                  <c:v>Salad</c:v>
                </c:pt>
                <c:pt idx="7">
                  <c:v>Sandwich</c:v>
                </c:pt>
                <c:pt idx="8">
                  <c:v>Sushi</c:v>
                </c:pt>
                <c:pt idx="9">
                  <c:v>Taco</c:v>
                </c:pt>
                <c:pt idx="10">
                  <c:v>Wrap</c:v>
                </c:pt>
              </c:strCache>
            </c:strRef>
          </c:cat>
          <c:val>
            <c:numRef>
              <c:f>Chart!$G$4:$G$15</c:f>
              <c:numCache>
                <c:formatCode>General</c:formatCode>
                <c:ptCount val="11"/>
                <c:pt idx="0">
                  <c:v>10</c:v>
                </c:pt>
                <c:pt idx="1">
                  <c:v>16</c:v>
                </c:pt>
                <c:pt idx="2">
                  <c:v>6</c:v>
                </c:pt>
                <c:pt idx="3">
                  <c:v>19</c:v>
                </c:pt>
                <c:pt idx="4">
                  <c:v>12</c:v>
                </c:pt>
                <c:pt idx="5">
                  <c:v>1</c:v>
                </c:pt>
                <c:pt idx="6">
                  <c:v>10</c:v>
                </c:pt>
                <c:pt idx="7">
                  <c:v>21</c:v>
                </c:pt>
                <c:pt idx="8">
                  <c:v>19</c:v>
                </c:pt>
                <c:pt idx="9">
                  <c:v>14</c:v>
                </c:pt>
                <c:pt idx="10">
                  <c:v>1</c:v>
                </c:pt>
              </c:numCache>
            </c:numRef>
          </c:val>
          <c:extLst>
            <c:ext xmlns:c16="http://schemas.microsoft.com/office/drawing/2014/chart" uri="{C3380CC4-5D6E-409C-BE32-E72D297353CC}">
              <c16:uniqueId val="{00000000-3529-416E-A706-D3014686F843}"/>
            </c:ext>
          </c:extLst>
        </c:ser>
        <c:ser>
          <c:idx val="1"/>
          <c:order val="1"/>
          <c:tx>
            <c:strRef>
              <c:f>Chart!$H$3</c:f>
              <c:strCache>
                <c:ptCount val="1"/>
                <c:pt idx="0">
                  <c:v>Sum of Price of Dish Ordered</c:v>
                </c:pt>
              </c:strCache>
            </c:strRef>
          </c:tx>
          <c:spPr>
            <a:solidFill>
              <a:schemeClr val="accent2"/>
            </a:solidFill>
            <a:ln>
              <a:noFill/>
            </a:ln>
            <a:effectLst/>
          </c:spPr>
          <c:invertIfNegative val="0"/>
          <c:cat>
            <c:strRef>
              <c:f>Chart!$F$4:$F$15</c:f>
              <c:strCache>
                <c:ptCount val="11"/>
                <c:pt idx="0">
                  <c:v>Burger</c:v>
                </c:pt>
                <c:pt idx="1">
                  <c:v>Fries</c:v>
                </c:pt>
                <c:pt idx="2">
                  <c:v>Nuggets</c:v>
                </c:pt>
                <c:pt idx="3">
                  <c:v>Order Missing</c:v>
                </c:pt>
                <c:pt idx="4">
                  <c:v>Pasta</c:v>
                </c:pt>
                <c:pt idx="5">
                  <c:v>Pizza</c:v>
                </c:pt>
                <c:pt idx="6">
                  <c:v>Salad</c:v>
                </c:pt>
                <c:pt idx="7">
                  <c:v>Sandwich</c:v>
                </c:pt>
                <c:pt idx="8">
                  <c:v>Sushi</c:v>
                </c:pt>
                <c:pt idx="9">
                  <c:v>Taco</c:v>
                </c:pt>
                <c:pt idx="10">
                  <c:v>Wrap</c:v>
                </c:pt>
              </c:strCache>
            </c:strRef>
          </c:cat>
          <c:val>
            <c:numRef>
              <c:f>Chart!$H$4:$H$15</c:f>
              <c:numCache>
                <c:formatCode>General</c:formatCode>
                <c:ptCount val="11"/>
                <c:pt idx="0">
                  <c:v>67</c:v>
                </c:pt>
                <c:pt idx="1">
                  <c:v>69</c:v>
                </c:pt>
                <c:pt idx="2">
                  <c:v>40</c:v>
                </c:pt>
                <c:pt idx="3">
                  <c:v>110</c:v>
                </c:pt>
                <c:pt idx="4">
                  <c:v>90</c:v>
                </c:pt>
                <c:pt idx="5">
                  <c:v>25</c:v>
                </c:pt>
                <c:pt idx="6">
                  <c:v>65</c:v>
                </c:pt>
                <c:pt idx="7">
                  <c:v>88</c:v>
                </c:pt>
                <c:pt idx="8">
                  <c:v>102</c:v>
                </c:pt>
                <c:pt idx="9">
                  <c:v>45</c:v>
                </c:pt>
                <c:pt idx="10">
                  <c:v>20</c:v>
                </c:pt>
              </c:numCache>
            </c:numRef>
          </c:val>
          <c:extLst>
            <c:ext xmlns:c16="http://schemas.microsoft.com/office/drawing/2014/chart" uri="{C3380CC4-5D6E-409C-BE32-E72D297353CC}">
              <c16:uniqueId val="{00000002-236B-4136-B870-27922387A0BF}"/>
            </c:ext>
          </c:extLst>
        </c:ser>
        <c:dLbls>
          <c:showLegendKey val="0"/>
          <c:showVal val="0"/>
          <c:showCatName val="0"/>
          <c:showSerName val="0"/>
          <c:showPercent val="0"/>
          <c:showBubbleSize val="0"/>
        </c:dLbls>
        <c:gapWidth val="219"/>
        <c:overlap val="-27"/>
        <c:axId val="1846235248"/>
        <c:axId val="1846235728"/>
      </c:barChart>
      <c:catAx>
        <c:axId val="1846235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6235728"/>
        <c:crosses val="autoZero"/>
        <c:auto val="1"/>
        <c:lblAlgn val="ctr"/>
        <c:lblOffset val="100"/>
        <c:noMultiLvlLbl val="0"/>
      </c:catAx>
      <c:valAx>
        <c:axId val="1846235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6235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accent1"/>
      </a:solidFill>
      <a:round/>
    </a:ln>
    <a:effectLst>
      <a:outerShdw blurRad="50800" dist="38100" dir="13500000" algn="b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 Capstone messy_restaurant_data.xlsx]Chart!PivotTable4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Date_of_Vist</a:t>
            </a:r>
            <a:r>
              <a:rPr lang="en-US" baseline="0"/>
              <a:t> Vs Sum_Price_of_Dish_Ordered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Chart!$B$22</c:f>
              <c:strCache>
                <c:ptCount val="1"/>
                <c:pt idx="0">
                  <c:v>Total</c:v>
                </c:pt>
              </c:strCache>
            </c:strRef>
          </c:tx>
          <c:spPr>
            <a:solidFill>
              <a:schemeClr val="accent1"/>
            </a:solidFill>
            <a:ln>
              <a:noFill/>
            </a:ln>
            <a:effectLst/>
          </c:spPr>
          <c:cat>
            <c:strRef>
              <c:f>Chart!$A$23:$A$25</c:f>
              <c:strCache>
                <c:ptCount val="2"/>
                <c:pt idx="0">
                  <c:v>Jan</c:v>
                </c:pt>
                <c:pt idx="1">
                  <c:v>Feb</c:v>
                </c:pt>
              </c:strCache>
            </c:strRef>
          </c:cat>
          <c:val>
            <c:numRef>
              <c:f>Chart!$B$23:$B$25</c:f>
              <c:numCache>
                <c:formatCode>General</c:formatCode>
                <c:ptCount val="2"/>
                <c:pt idx="0">
                  <c:v>606</c:v>
                </c:pt>
                <c:pt idx="1">
                  <c:v>115</c:v>
                </c:pt>
              </c:numCache>
            </c:numRef>
          </c:val>
          <c:extLst>
            <c:ext xmlns:c16="http://schemas.microsoft.com/office/drawing/2014/chart" uri="{C3380CC4-5D6E-409C-BE32-E72D297353CC}">
              <c16:uniqueId val="{00000000-89A3-4445-8B8C-9CB5E843AC46}"/>
            </c:ext>
          </c:extLst>
        </c:ser>
        <c:dLbls>
          <c:showLegendKey val="0"/>
          <c:showVal val="0"/>
          <c:showCatName val="0"/>
          <c:showSerName val="0"/>
          <c:showPercent val="0"/>
          <c:showBubbleSize val="0"/>
        </c:dLbls>
        <c:axId val="727098127"/>
        <c:axId val="727081807"/>
      </c:areaChart>
      <c:catAx>
        <c:axId val="7270981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7081807"/>
        <c:crosses val="autoZero"/>
        <c:auto val="1"/>
        <c:lblAlgn val="ctr"/>
        <c:lblOffset val="100"/>
        <c:noMultiLvlLbl val="0"/>
      </c:catAx>
      <c:valAx>
        <c:axId val="727081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709812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accent1"/>
      </a:solidFill>
      <a:round/>
    </a:ln>
    <a:effectLst>
      <a:outerShdw blurRad="50800" dist="38100" dir="13500000" algn="b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 Capstone messy_restaurant_data.xlsx]Chart!PivotTable7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Dish_ordered</a:t>
            </a:r>
            <a:r>
              <a:rPr lang="en-US" baseline="0"/>
              <a:t> Vs Date_of_Visit Vs Sum_Price of Dish_Ordered</a:t>
            </a:r>
            <a:endParaRPr lang="en-US"/>
          </a:p>
        </c:rich>
      </c:tx>
      <c:layout>
        <c:manualLayout>
          <c:xMode val="edge"/>
          <c:yMode val="edge"/>
          <c:x val="0.39282633420822405"/>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13648293963253"/>
          <c:y val="0.17027559055118111"/>
          <c:w val="0.60686351706036745"/>
          <c:h val="0.50543890347039955"/>
        </c:manualLayout>
      </c:layout>
      <c:lineChart>
        <c:grouping val="standard"/>
        <c:varyColors val="0"/>
        <c:ser>
          <c:idx val="0"/>
          <c:order val="0"/>
          <c:tx>
            <c:strRef>
              <c:f>Chart!$O$3:$O$5</c:f>
              <c:strCache>
                <c:ptCount val="1"/>
                <c:pt idx="0">
                  <c:v>Jan</c:v>
                </c:pt>
              </c:strCache>
            </c:strRef>
          </c:tx>
          <c:spPr>
            <a:ln w="28575" cap="rnd">
              <a:solidFill>
                <a:schemeClr val="accent1"/>
              </a:solidFill>
              <a:round/>
            </a:ln>
            <a:effectLst/>
          </c:spPr>
          <c:marker>
            <c:symbol val="none"/>
          </c:marker>
          <c:cat>
            <c:strRef>
              <c:f>Chart!$N$6:$N$17</c:f>
              <c:strCache>
                <c:ptCount val="11"/>
                <c:pt idx="0">
                  <c:v>Burger</c:v>
                </c:pt>
                <c:pt idx="1">
                  <c:v>Fries</c:v>
                </c:pt>
                <c:pt idx="2">
                  <c:v>Nuggets</c:v>
                </c:pt>
                <c:pt idx="3">
                  <c:v>Order Missing</c:v>
                </c:pt>
                <c:pt idx="4">
                  <c:v>Pasta</c:v>
                </c:pt>
                <c:pt idx="5">
                  <c:v>Pizza</c:v>
                </c:pt>
                <c:pt idx="6">
                  <c:v>Salad</c:v>
                </c:pt>
                <c:pt idx="7">
                  <c:v>Sandwich</c:v>
                </c:pt>
                <c:pt idx="8">
                  <c:v>Sushi</c:v>
                </c:pt>
                <c:pt idx="9">
                  <c:v>Taco</c:v>
                </c:pt>
                <c:pt idx="10">
                  <c:v>Wrap</c:v>
                </c:pt>
              </c:strCache>
            </c:strRef>
          </c:cat>
          <c:val>
            <c:numRef>
              <c:f>Chart!$O$6:$O$17</c:f>
              <c:numCache>
                <c:formatCode>General</c:formatCode>
                <c:ptCount val="11"/>
                <c:pt idx="0">
                  <c:v>67</c:v>
                </c:pt>
                <c:pt idx="1">
                  <c:v>69</c:v>
                </c:pt>
                <c:pt idx="2">
                  <c:v>15</c:v>
                </c:pt>
                <c:pt idx="3">
                  <c:v>110</c:v>
                </c:pt>
                <c:pt idx="4">
                  <c:v>65</c:v>
                </c:pt>
                <c:pt idx="5">
                  <c:v>25</c:v>
                </c:pt>
                <c:pt idx="6">
                  <c:v>45</c:v>
                </c:pt>
                <c:pt idx="7">
                  <c:v>88</c:v>
                </c:pt>
                <c:pt idx="8">
                  <c:v>57</c:v>
                </c:pt>
                <c:pt idx="9">
                  <c:v>45</c:v>
                </c:pt>
                <c:pt idx="10">
                  <c:v>20</c:v>
                </c:pt>
              </c:numCache>
            </c:numRef>
          </c:val>
          <c:smooth val="0"/>
          <c:extLst>
            <c:ext xmlns:c16="http://schemas.microsoft.com/office/drawing/2014/chart" uri="{C3380CC4-5D6E-409C-BE32-E72D297353CC}">
              <c16:uniqueId val="{00000000-D9CE-4CA8-8D7C-B34BECC67423}"/>
            </c:ext>
          </c:extLst>
        </c:ser>
        <c:ser>
          <c:idx val="1"/>
          <c:order val="1"/>
          <c:tx>
            <c:strRef>
              <c:f>Chart!$P$3:$P$5</c:f>
              <c:strCache>
                <c:ptCount val="1"/>
                <c:pt idx="0">
                  <c:v>Feb</c:v>
                </c:pt>
              </c:strCache>
            </c:strRef>
          </c:tx>
          <c:spPr>
            <a:ln w="28575" cap="rnd">
              <a:solidFill>
                <a:schemeClr val="accent2"/>
              </a:solidFill>
              <a:round/>
            </a:ln>
            <a:effectLst/>
          </c:spPr>
          <c:marker>
            <c:symbol val="none"/>
          </c:marker>
          <c:cat>
            <c:strRef>
              <c:f>Chart!$N$6:$N$17</c:f>
              <c:strCache>
                <c:ptCount val="11"/>
                <c:pt idx="0">
                  <c:v>Burger</c:v>
                </c:pt>
                <c:pt idx="1">
                  <c:v>Fries</c:v>
                </c:pt>
                <c:pt idx="2">
                  <c:v>Nuggets</c:v>
                </c:pt>
                <c:pt idx="3">
                  <c:v>Order Missing</c:v>
                </c:pt>
                <c:pt idx="4">
                  <c:v>Pasta</c:v>
                </c:pt>
                <c:pt idx="5">
                  <c:v>Pizza</c:v>
                </c:pt>
                <c:pt idx="6">
                  <c:v>Salad</c:v>
                </c:pt>
                <c:pt idx="7">
                  <c:v>Sandwich</c:v>
                </c:pt>
                <c:pt idx="8">
                  <c:v>Sushi</c:v>
                </c:pt>
                <c:pt idx="9">
                  <c:v>Taco</c:v>
                </c:pt>
                <c:pt idx="10">
                  <c:v>Wrap</c:v>
                </c:pt>
              </c:strCache>
            </c:strRef>
          </c:cat>
          <c:val>
            <c:numRef>
              <c:f>Chart!$P$6:$P$17</c:f>
              <c:numCache>
                <c:formatCode>General</c:formatCode>
                <c:ptCount val="11"/>
                <c:pt idx="2">
                  <c:v>25</c:v>
                </c:pt>
                <c:pt idx="4">
                  <c:v>25</c:v>
                </c:pt>
                <c:pt idx="6">
                  <c:v>20</c:v>
                </c:pt>
                <c:pt idx="8">
                  <c:v>45</c:v>
                </c:pt>
              </c:numCache>
            </c:numRef>
          </c:val>
          <c:smooth val="0"/>
          <c:extLst>
            <c:ext xmlns:c16="http://schemas.microsoft.com/office/drawing/2014/chart" uri="{C3380CC4-5D6E-409C-BE32-E72D297353CC}">
              <c16:uniqueId val="{00000001-D9CE-4CA8-8D7C-B34BECC67423}"/>
            </c:ext>
          </c:extLst>
        </c:ser>
        <c:dLbls>
          <c:showLegendKey val="0"/>
          <c:showVal val="0"/>
          <c:showCatName val="0"/>
          <c:showSerName val="0"/>
          <c:showPercent val="0"/>
          <c:showBubbleSize val="0"/>
        </c:dLbls>
        <c:smooth val="0"/>
        <c:axId val="1847228432"/>
        <c:axId val="1839507552"/>
      </c:lineChart>
      <c:catAx>
        <c:axId val="1847228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9507552"/>
        <c:crosses val="autoZero"/>
        <c:auto val="1"/>
        <c:lblAlgn val="ctr"/>
        <c:lblOffset val="100"/>
        <c:noMultiLvlLbl val="0"/>
      </c:catAx>
      <c:valAx>
        <c:axId val="1839507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228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accent1"/>
      </a:solidFill>
      <a:round/>
    </a:ln>
    <a:effectLst>
      <a:outerShdw blurRad="50800" dist="38100" dir="8100000" algn="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371475</xdr:colOff>
      <xdr:row>34</xdr:row>
      <xdr:rowOff>42862</xdr:rowOff>
    </xdr:from>
    <xdr:to>
      <xdr:col>9</xdr:col>
      <xdr:colOff>638175</xdr:colOff>
      <xdr:row>48</xdr:row>
      <xdr:rowOff>119062</xdr:rowOff>
    </xdr:to>
    <xdr:graphicFrame macro="">
      <xdr:nvGraphicFramePr>
        <xdr:cNvPr id="2" name="Chart 1">
          <a:extLst>
            <a:ext uri="{FF2B5EF4-FFF2-40B4-BE49-F238E27FC236}">
              <a16:creationId xmlns:a16="http://schemas.microsoft.com/office/drawing/2014/main" id="{7C26BA79-94A4-42CD-395F-65AB8D56B9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876300</xdr:colOff>
      <xdr:row>34</xdr:row>
      <xdr:rowOff>23812</xdr:rowOff>
    </xdr:from>
    <xdr:to>
      <xdr:col>13</xdr:col>
      <xdr:colOff>1171575</xdr:colOff>
      <xdr:row>48</xdr:row>
      <xdr:rowOff>100012</xdr:rowOff>
    </xdr:to>
    <xdr:graphicFrame macro="">
      <xdr:nvGraphicFramePr>
        <xdr:cNvPr id="3" name="Chart 2">
          <a:extLst>
            <a:ext uri="{FF2B5EF4-FFF2-40B4-BE49-F238E27FC236}">
              <a16:creationId xmlns:a16="http://schemas.microsoft.com/office/drawing/2014/main" id="{38BA7FCA-9D40-CE2B-9EBB-9891CEC0DF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609600</xdr:colOff>
      <xdr:row>34</xdr:row>
      <xdr:rowOff>52387</xdr:rowOff>
    </xdr:from>
    <xdr:to>
      <xdr:col>5</xdr:col>
      <xdr:colOff>238125</xdr:colOff>
      <xdr:row>48</xdr:row>
      <xdr:rowOff>128587</xdr:rowOff>
    </xdr:to>
    <xdr:graphicFrame macro="">
      <xdr:nvGraphicFramePr>
        <xdr:cNvPr id="5" name="Chart 4">
          <a:extLst>
            <a:ext uri="{FF2B5EF4-FFF2-40B4-BE49-F238E27FC236}">
              <a16:creationId xmlns:a16="http://schemas.microsoft.com/office/drawing/2014/main" id="{7773E2DD-AD74-617A-CF52-A3A7D96342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1323975</xdr:colOff>
      <xdr:row>34</xdr:row>
      <xdr:rowOff>52387</xdr:rowOff>
    </xdr:from>
    <xdr:to>
      <xdr:col>19</xdr:col>
      <xdr:colOff>447675</xdr:colOff>
      <xdr:row>48</xdr:row>
      <xdr:rowOff>128587</xdr:rowOff>
    </xdr:to>
    <xdr:graphicFrame macro="">
      <xdr:nvGraphicFramePr>
        <xdr:cNvPr id="6" name="Chart 5">
          <a:extLst>
            <a:ext uri="{FF2B5EF4-FFF2-40B4-BE49-F238E27FC236}">
              <a16:creationId xmlns:a16="http://schemas.microsoft.com/office/drawing/2014/main" id="{E780F6CE-A302-6B3E-FE52-FA094AB7B8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590550</xdr:colOff>
      <xdr:row>49</xdr:row>
      <xdr:rowOff>185737</xdr:rowOff>
    </xdr:from>
    <xdr:to>
      <xdr:col>5</xdr:col>
      <xdr:colOff>219075</xdr:colOff>
      <xdr:row>64</xdr:row>
      <xdr:rowOff>71437</xdr:rowOff>
    </xdr:to>
    <xdr:graphicFrame macro="">
      <xdr:nvGraphicFramePr>
        <xdr:cNvPr id="4" name="Chart 3">
          <a:extLst>
            <a:ext uri="{FF2B5EF4-FFF2-40B4-BE49-F238E27FC236}">
              <a16:creationId xmlns:a16="http://schemas.microsoft.com/office/drawing/2014/main" id="{A4E563C9-2B53-A8BE-F2CB-66D69A624F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35943</xdr:colOff>
      <xdr:row>8</xdr:row>
      <xdr:rowOff>35943</xdr:rowOff>
    </xdr:from>
    <xdr:to>
      <xdr:col>20</xdr:col>
      <xdr:colOff>45289</xdr:colOff>
      <xdr:row>33</xdr:row>
      <xdr:rowOff>147369</xdr:rowOff>
    </xdr:to>
    <xdr:grpSp>
      <xdr:nvGrpSpPr>
        <xdr:cNvPr id="21" name="Group 20">
          <a:extLst>
            <a:ext uri="{FF2B5EF4-FFF2-40B4-BE49-F238E27FC236}">
              <a16:creationId xmlns:a16="http://schemas.microsoft.com/office/drawing/2014/main" id="{BA4CBD6C-4AE6-4B6B-1497-428CF5605FB0}"/>
            </a:ext>
          </a:extLst>
        </xdr:cNvPr>
        <xdr:cNvGrpSpPr/>
      </xdr:nvGrpSpPr>
      <xdr:grpSpPr>
        <a:xfrm>
          <a:off x="649418" y="1989375"/>
          <a:ext cx="11665363" cy="4954647"/>
          <a:chOff x="629009" y="826698"/>
          <a:chExt cx="11619063" cy="5053642"/>
        </a:xfrm>
      </xdr:grpSpPr>
      <xdr:graphicFrame macro="">
        <xdr:nvGraphicFramePr>
          <xdr:cNvPr id="3" name="Chart 2">
            <a:extLst>
              <a:ext uri="{FF2B5EF4-FFF2-40B4-BE49-F238E27FC236}">
                <a16:creationId xmlns:a16="http://schemas.microsoft.com/office/drawing/2014/main" id="{A9D30852-1A35-4505-825C-D3172C83D0AA}"/>
              </a:ext>
            </a:extLst>
          </xdr:cNvPr>
          <xdr:cNvGraphicFramePr>
            <a:graphicFrameLocks/>
          </xdr:cNvGraphicFramePr>
        </xdr:nvGraphicFramePr>
        <xdr:xfrm>
          <a:off x="4609741" y="826698"/>
          <a:ext cx="3657600" cy="228600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4" name="Chart 3">
            <a:extLst>
              <a:ext uri="{FF2B5EF4-FFF2-40B4-BE49-F238E27FC236}">
                <a16:creationId xmlns:a16="http://schemas.microsoft.com/office/drawing/2014/main" id="{ACCE3FCD-5E05-4121-AF99-0BFD54BFF432}"/>
              </a:ext>
            </a:extLst>
          </xdr:cNvPr>
          <xdr:cNvGraphicFramePr>
            <a:graphicFrameLocks/>
          </xdr:cNvGraphicFramePr>
        </xdr:nvGraphicFramePr>
        <xdr:xfrm>
          <a:off x="8590472" y="826698"/>
          <a:ext cx="3657600" cy="22860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5" name="Chart 4">
            <a:extLst>
              <a:ext uri="{FF2B5EF4-FFF2-40B4-BE49-F238E27FC236}">
                <a16:creationId xmlns:a16="http://schemas.microsoft.com/office/drawing/2014/main" id="{E2527165-FC39-42E2-AE53-7D3FE0B1C8F4}"/>
              </a:ext>
            </a:extLst>
          </xdr:cNvPr>
          <xdr:cNvGraphicFramePr>
            <a:graphicFrameLocks/>
          </xdr:cNvGraphicFramePr>
        </xdr:nvGraphicFramePr>
        <xdr:xfrm>
          <a:off x="629009" y="3594340"/>
          <a:ext cx="3657600" cy="228600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6" name="Chart 5">
            <a:extLst>
              <a:ext uri="{FF2B5EF4-FFF2-40B4-BE49-F238E27FC236}">
                <a16:creationId xmlns:a16="http://schemas.microsoft.com/office/drawing/2014/main" id="{5E0BC39B-0A5F-4544-BB3F-D3E3B26EC601}"/>
              </a:ext>
            </a:extLst>
          </xdr:cNvPr>
          <xdr:cNvGraphicFramePr>
            <a:graphicFrameLocks/>
          </xdr:cNvGraphicFramePr>
        </xdr:nvGraphicFramePr>
        <xdr:xfrm>
          <a:off x="4942217" y="3594340"/>
          <a:ext cx="3657600" cy="228600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7" name="Chart 6">
            <a:extLst>
              <a:ext uri="{FF2B5EF4-FFF2-40B4-BE49-F238E27FC236}">
                <a16:creationId xmlns:a16="http://schemas.microsoft.com/office/drawing/2014/main" id="{4D10527C-3F45-4922-6C77-E5D6BEDCDF69}"/>
              </a:ext>
            </a:extLst>
          </xdr:cNvPr>
          <xdr:cNvGraphicFramePr>
            <a:graphicFrameLocks/>
          </xdr:cNvGraphicFramePr>
        </xdr:nvGraphicFramePr>
        <xdr:xfrm>
          <a:off x="629010" y="826698"/>
          <a:ext cx="3657600" cy="228600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editAs="oneCell">
    <xdr:from>
      <xdr:col>20</xdr:col>
      <xdr:colOff>165879</xdr:colOff>
      <xdr:row>3</xdr:row>
      <xdr:rowOff>50321</xdr:rowOff>
    </xdr:from>
    <xdr:to>
      <xdr:col>23</xdr:col>
      <xdr:colOff>161566</xdr:colOff>
      <xdr:row>16</xdr:row>
      <xdr:rowOff>4493</xdr:rowOff>
    </xdr:to>
    <mc:AlternateContent xmlns:mc="http://schemas.openxmlformats.org/markup-compatibility/2006" xmlns:a14="http://schemas.microsoft.com/office/drawing/2010/main">
      <mc:Choice Requires="a14">
        <xdr:graphicFrame macro="">
          <xdr:nvGraphicFramePr>
            <xdr:cNvPr id="8" name="Customer">
              <a:extLst>
                <a:ext uri="{FF2B5EF4-FFF2-40B4-BE49-F238E27FC236}">
                  <a16:creationId xmlns:a16="http://schemas.microsoft.com/office/drawing/2014/main" id="{AF1E4C0C-46C4-35AB-7B0B-7F12F5740AD0}"/>
                </a:ext>
              </a:extLst>
            </xdr:cNvPr>
            <xdr:cNvGraphicFramePr/>
          </xdr:nvGraphicFramePr>
          <xdr:xfrm>
            <a:off x="0" y="0"/>
            <a:ext cx="0" cy="0"/>
          </xdr:xfrm>
          <a:graphic>
            <a:graphicData uri="http://schemas.microsoft.com/office/drawing/2010/slicer">
              <sle:slicer xmlns:sle="http://schemas.microsoft.com/office/drawing/2010/slicer" name="Customer"/>
            </a:graphicData>
          </a:graphic>
        </xdr:graphicFrame>
      </mc:Choice>
      <mc:Fallback xmlns="">
        <xdr:sp macro="" textlink="">
          <xdr:nvSpPr>
            <xdr:cNvPr id="0" name=""/>
            <xdr:cNvSpPr>
              <a:spLocks noTextEdit="1"/>
            </xdr:cNvSpPr>
          </xdr:nvSpPr>
          <xdr:spPr>
            <a:xfrm>
              <a:off x="12197458" y="1002821"/>
              <a:ext cx="1800424" cy="23437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174864</xdr:colOff>
      <xdr:row>16</xdr:row>
      <xdr:rowOff>95250</xdr:rowOff>
    </xdr:from>
    <xdr:to>
      <xdr:col>23</xdr:col>
      <xdr:colOff>170551</xdr:colOff>
      <xdr:row>29</xdr:row>
      <xdr:rowOff>49422</xdr:rowOff>
    </xdr:to>
    <mc:AlternateContent xmlns:mc="http://schemas.openxmlformats.org/markup-compatibility/2006" xmlns:a14="http://schemas.microsoft.com/office/drawing/2010/main">
      <mc:Choice Requires="a14">
        <xdr:graphicFrame macro="">
          <xdr:nvGraphicFramePr>
            <xdr:cNvPr id="9" name="Dish Ordered">
              <a:extLst>
                <a:ext uri="{FF2B5EF4-FFF2-40B4-BE49-F238E27FC236}">
                  <a16:creationId xmlns:a16="http://schemas.microsoft.com/office/drawing/2014/main" id="{0277CADE-3E2C-E15F-ECFD-E1D67CD117F7}"/>
                </a:ext>
              </a:extLst>
            </xdr:cNvPr>
            <xdr:cNvGraphicFramePr/>
          </xdr:nvGraphicFramePr>
          <xdr:xfrm>
            <a:off x="0" y="0"/>
            <a:ext cx="0" cy="0"/>
          </xdr:xfrm>
          <a:graphic>
            <a:graphicData uri="http://schemas.microsoft.com/office/drawing/2010/slicer">
              <sle:slicer xmlns:sle="http://schemas.microsoft.com/office/drawing/2010/slicer" name="Dish Ordered"/>
            </a:graphicData>
          </a:graphic>
        </xdr:graphicFrame>
      </mc:Choice>
      <mc:Fallback xmlns="">
        <xdr:sp macro="" textlink="">
          <xdr:nvSpPr>
            <xdr:cNvPr id="0" name=""/>
            <xdr:cNvSpPr>
              <a:spLocks noTextEdit="1"/>
            </xdr:cNvSpPr>
          </xdr:nvSpPr>
          <xdr:spPr>
            <a:xfrm>
              <a:off x="12206443" y="3437355"/>
              <a:ext cx="1800424" cy="23437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264723</xdr:colOff>
      <xdr:row>3</xdr:row>
      <xdr:rowOff>41335</xdr:rowOff>
    </xdr:from>
    <xdr:to>
      <xdr:col>26</xdr:col>
      <xdr:colOff>260410</xdr:colOff>
      <xdr:row>15</xdr:row>
      <xdr:rowOff>193195</xdr:rowOff>
    </xdr:to>
    <mc:AlternateContent xmlns:mc="http://schemas.openxmlformats.org/markup-compatibility/2006" xmlns:a14="http://schemas.microsoft.com/office/drawing/2010/main">
      <mc:Choice Requires="a14">
        <xdr:graphicFrame macro="">
          <xdr:nvGraphicFramePr>
            <xdr:cNvPr id="11" name="Price of Dish Ordered">
              <a:extLst>
                <a:ext uri="{FF2B5EF4-FFF2-40B4-BE49-F238E27FC236}">
                  <a16:creationId xmlns:a16="http://schemas.microsoft.com/office/drawing/2014/main" id="{465F23E2-6F56-1034-D4F0-2B9EF99EE26F}"/>
                </a:ext>
              </a:extLst>
            </xdr:cNvPr>
            <xdr:cNvGraphicFramePr/>
          </xdr:nvGraphicFramePr>
          <xdr:xfrm>
            <a:off x="0" y="0"/>
            <a:ext cx="0" cy="0"/>
          </xdr:xfrm>
          <a:graphic>
            <a:graphicData uri="http://schemas.microsoft.com/office/drawing/2010/slicer">
              <sle:slicer xmlns:sle="http://schemas.microsoft.com/office/drawing/2010/slicer" name="Price of Dish Ordered"/>
            </a:graphicData>
          </a:graphic>
        </xdr:graphicFrame>
      </mc:Choice>
      <mc:Fallback xmlns="">
        <xdr:sp macro="" textlink="">
          <xdr:nvSpPr>
            <xdr:cNvPr id="0" name=""/>
            <xdr:cNvSpPr>
              <a:spLocks noTextEdit="1"/>
            </xdr:cNvSpPr>
          </xdr:nvSpPr>
          <xdr:spPr>
            <a:xfrm>
              <a:off x="14101039" y="993835"/>
              <a:ext cx="1800424" cy="23576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273709</xdr:colOff>
      <xdr:row>16</xdr:row>
      <xdr:rowOff>122208</xdr:rowOff>
    </xdr:from>
    <xdr:to>
      <xdr:col>26</xdr:col>
      <xdr:colOff>269396</xdr:colOff>
      <xdr:row>25</xdr:row>
      <xdr:rowOff>161745</xdr:rowOff>
    </xdr:to>
    <mc:AlternateContent xmlns:mc="http://schemas.openxmlformats.org/markup-compatibility/2006" xmlns:a14="http://schemas.microsoft.com/office/drawing/2010/main">
      <mc:Choice Requires="a14">
        <xdr:graphicFrame macro="">
          <xdr:nvGraphicFramePr>
            <xdr:cNvPr id="12" name="Quantity">
              <a:extLst>
                <a:ext uri="{FF2B5EF4-FFF2-40B4-BE49-F238E27FC236}">
                  <a16:creationId xmlns:a16="http://schemas.microsoft.com/office/drawing/2014/main" id="{618979BE-48A2-1C64-378C-6AE5D69689ED}"/>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mlns="">
        <xdr:sp macro="" textlink="">
          <xdr:nvSpPr>
            <xdr:cNvPr id="0" name=""/>
            <xdr:cNvSpPr>
              <a:spLocks noTextEdit="1"/>
            </xdr:cNvSpPr>
          </xdr:nvSpPr>
          <xdr:spPr>
            <a:xfrm>
              <a:off x="14110025" y="3464313"/>
              <a:ext cx="1800424" cy="16938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143773</xdr:colOff>
      <xdr:row>2</xdr:row>
      <xdr:rowOff>53916</xdr:rowOff>
    </xdr:from>
    <xdr:to>
      <xdr:col>15</xdr:col>
      <xdr:colOff>251604</xdr:colOff>
      <xdr:row>7</xdr:row>
      <xdr:rowOff>35944</xdr:rowOff>
    </xdr:to>
    <xdr:grpSp>
      <xdr:nvGrpSpPr>
        <xdr:cNvPr id="32" name="Group 31">
          <a:extLst>
            <a:ext uri="{FF2B5EF4-FFF2-40B4-BE49-F238E27FC236}">
              <a16:creationId xmlns:a16="http://schemas.microsoft.com/office/drawing/2014/main" id="{3A7F171E-7C4F-61E2-FD84-270DF72FF38A}"/>
            </a:ext>
          </a:extLst>
        </xdr:cNvPr>
        <xdr:cNvGrpSpPr/>
      </xdr:nvGrpSpPr>
      <xdr:grpSpPr>
        <a:xfrm>
          <a:off x="757248" y="844975"/>
          <a:ext cx="8696475" cy="950672"/>
          <a:chOff x="754811" y="682925"/>
          <a:chExt cx="8662359" cy="970472"/>
        </a:xfrm>
      </xdr:grpSpPr>
      <xdr:grpSp>
        <xdr:nvGrpSpPr>
          <xdr:cNvPr id="22" name="Group 21">
            <a:extLst>
              <a:ext uri="{FF2B5EF4-FFF2-40B4-BE49-F238E27FC236}">
                <a16:creationId xmlns:a16="http://schemas.microsoft.com/office/drawing/2014/main" id="{03A841DE-3B2A-DCE4-9114-99144DBA766A}"/>
              </a:ext>
            </a:extLst>
          </xdr:cNvPr>
          <xdr:cNvGrpSpPr/>
        </xdr:nvGrpSpPr>
        <xdr:grpSpPr>
          <a:xfrm>
            <a:off x="754811" y="682925"/>
            <a:ext cx="3306792" cy="970472"/>
            <a:chOff x="16731651" y="988443"/>
            <a:chExt cx="3306792" cy="970472"/>
          </a:xfrm>
        </xdr:grpSpPr>
        <xdr:sp macro="" textlink="">
          <xdr:nvSpPr>
            <xdr:cNvPr id="16" name="TextBox 15">
              <a:extLst>
                <a:ext uri="{FF2B5EF4-FFF2-40B4-BE49-F238E27FC236}">
                  <a16:creationId xmlns:a16="http://schemas.microsoft.com/office/drawing/2014/main" id="{6973DC5A-9633-0B14-4D8F-BFEB57504AE1}"/>
                </a:ext>
              </a:extLst>
            </xdr:cNvPr>
            <xdr:cNvSpPr txBox="1"/>
          </xdr:nvSpPr>
          <xdr:spPr>
            <a:xfrm>
              <a:off x="16731651" y="988443"/>
              <a:ext cx="3306792" cy="970472"/>
            </a:xfrm>
            <a:prstGeom prst="rect">
              <a:avLst/>
            </a:prstGeom>
            <a:solidFill>
              <a:schemeClr val="accent6"/>
            </a:solidFill>
            <a:ln w="28575" cmpd="sng">
              <a:solidFill>
                <a:srgbClr val="C00000"/>
              </a:solidFill>
            </a:ln>
            <a:scene3d>
              <a:camera prst="orthographicFront"/>
              <a:lightRig rig="threePt" dir="t"/>
            </a:scene3d>
            <a:sp3d>
              <a:bevelT prst="angle"/>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accent4">
                      <a:lumMod val="50000"/>
                    </a:schemeClr>
                  </a:solidFill>
                </a:rPr>
                <a:t>SUM_PRICE</a:t>
              </a:r>
              <a:r>
                <a:rPr lang="en-US" sz="1800" b="1" baseline="0">
                  <a:solidFill>
                    <a:schemeClr val="accent4">
                      <a:lumMod val="50000"/>
                    </a:schemeClr>
                  </a:solidFill>
                </a:rPr>
                <a:t>_OF_DISH_ORDERED</a:t>
              </a:r>
              <a:endParaRPr lang="en-US" sz="1800" b="1">
                <a:solidFill>
                  <a:schemeClr val="accent4">
                    <a:lumMod val="50000"/>
                  </a:schemeClr>
                </a:solidFill>
              </a:endParaRPr>
            </a:p>
          </xdr:txBody>
        </xdr:sp>
        <xdr:sp macro="" textlink="Chart!B1">
          <xdr:nvSpPr>
            <xdr:cNvPr id="20" name="TextBox 19">
              <a:extLst>
                <a:ext uri="{FF2B5EF4-FFF2-40B4-BE49-F238E27FC236}">
                  <a16:creationId xmlns:a16="http://schemas.microsoft.com/office/drawing/2014/main" id="{091C382E-1A49-4E6C-4B2F-857ABA7C3279}"/>
                </a:ext>
              </a:extLst>
            </xdr:cNvPr>
            <xdr:cNvSpPr txBox="1"/>
          </xdr:nvSpPr>
          <xdr:spPr>
            <a:xfrm>
              <a:off x="17809953" y="1419763"/>
              <a:ext cx="754812" cy="431321"/>
            </a:xfrm>
            <a:prstGeom prst="rect">
              <a:avLst/>
            </a:prstGeom>
            <a:solidFill>
              <a:schemeClr val="accent6"/>
            </a:solidFill>
            <a:ln w="28575" cmpd="sng">
              <a:solidFill>
                <a:srgbClr val="C00000"/>
              </a:solidFill>
            </a:ln>
            <a:scene3d>
              <a:camera prst="orthographicFront"/>
              <a:lightRig rig="threePt" dir="t"/>
            </a:scene3d>
            <a:sp3d>
              <a:bevelT prst="angle"/>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7CFAA45-48C0-494F-BC4A-2E23692AE6D0}" type="TxLink">
                <a:rPr lang="en-US" sz="2400" b="1" i="0" u="none" strike="noStrike">
                  <a:solidFill>
                    <a:schemeClr val="accent4">
                      <a:lumMod val="50000"/>
                    </a:schemeClr>
                  </a:solidFill>
                  <a:latin typeface="Calibri"/>
                  <a:cs typeface="Calibri"/>
                </a:rPr>
                <a:pPr/>
                <a:t>721</a:t>
              </a:fld>
              <a:endParaRPr lang="en-US" sz="2400" b="1">
                <a:solidFill>
                  <a:schemeClr val="accent4">
                    <a:lumMod val="50000"/>
                  </a:schemeClr>
                </a:solidFill>
              </a:endParaRPr>
            </a:p>
          </xdr:txBody>
        </xdr:sp>
      </xdr:grpSp>
      <xdr:grpSp>
        <xdr:nvGrpSpPr>
          <xdr:cNvPr id="28" name="Group 27">
            <a:extLst>
              <a:ext uri="{FF2B5EF4-FFF2-40B4-BE49-F238E27FC236}">
                <a16:creationId xmlns:a16="http://schemas.microsoft.com/office/drawing/2014/main" id="{4E791C02-712A-CB7C-570A-2F5CAF5D8E08}"/>
              </a:ext>
            </a:extLst>
          </xdr:cNvPr>
          <xdr:cNvGrpSpPr/>
        </xdr:nvGrpSpPr>
        <xdr:grpSpPr>
          <a:xfrm>
            <a:off x="4340165" y="682925"/>
            <a:ext cx="2426179" cy="826698"/>
            <a:chOff x="16839481" y="2192547"/>
            <a:chExt cx="2426179" cy="826698"/>
          </a:xfrm>
        </xdr:grpSpPr>
        <xdr:sp macro="" textlink="">
          <xdr:nvSpPr>
            <xdr:cNvPr id="23" name="TextBox 22">
              <a:extLst>
                <a:ext uri="{FF2B5EF4-FFF2-40B4-BE49-F238E27FC236}">
                  <a16:creationId xmlns:a16="http://schemas.microsoft.com/office/drawing/2014/main" id="{EC193C17-7981-44EA-80B1-82C98D01F213}"/>
                </a:ext>
              </a:extLst>
            </xdr:cNvPr>
            <xdr:cNvSpPr txBox="1"/>
          </xdr:nvSpPr>
          <xdr:spPr>
            <a:xfrm>
              <a:off x="16839481" y="2192547"/>
              <a:ext cx="2426179" cy="826698"/>
            </a:xfrm>
            <a:prstGeom prst="rect">
              <a:avLst/>
            </a:prstGeom>
            <a:solidFill>
              <a:srgbClr val="0070C0"/>
            </a:solidFill>
            <a:ln w="28575" cmpd="sng">
              <a:solidFill>
                <a:schemeClr val="accent6">
                  <a:lumMod val="75000"/>
                </a:schemeClr>
              </a:solidFill>
            </a:ln>
            <a:scene3d>
              <a:camera prst="orthographicFront"/>
              <a:lightRig rig="threePt" dir="t"/>
            </a:scene3d>
            <a:sp3d>
              <a:bevelT prst="angle"/>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  SUM OF QUANTITY</a:t>
              </a:r>
            </a:p>
          </xdr:txBody>
        </xdr:sp>
        <xdr:sp macro="" textlink="Chart!F1">
          <xdr:nvSpPr>
            <xdr:cNvPr id="24" name="TextBox 23">
              <a:extLst>
                <a:ext uri="{FF2B5EF4-FFF2-40B4-BE49-F238E27FC236}">
                  <a16:creationId xmlns:a16="http://schemas.microsoft.com/office/drawing/2014/main" id="{62AF8B41-55FF-A480-673D-6854FDF97E02}"/>
                </a:ext>
              </a:extLst>
            </xdr:cNvPr>
            <xdr:cNvSpPr txBox="1"/>
          </xdr:nvSpPr>
          <xdr:spPr>
            <a:xfrm>
              <a:off x="17666179" y="2516038"/>
              <a:ext cx="646981" cy="449292"/>
            </a:xfrm>
            <a:prstGeom prst="rect">
              <a:avLst/>
            </a:prstGeom>
            <a:solidFill>
              <a:srgbClr val="0070C0"/>
            </a:solidFill>
            <a:ln w="28575" cmpd="sng">
              <a:solidFill>
                <a:schemeClr val="accent6">
                  <a:lumMod val="75000"/>
                </a:schemeClr>
              </a:solidFill>
            </a:ln>
            <a:scene3d>
              <a:camera prst="orthographicFront"/>
              <a:lightRig rig="threePt" dir="t"/>
            </a:scene3d>
            <a:sp3d>
              <a:bevelT prst="angle"/>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2241B87-B09B-48DF-B959-8CA70A735FA3}" type="TxLink">
                <a:rPr lang="en-US" sz="2000" b="1" i="0" u="none" strike="noStrike">
                  <a:solidFill>
                    <a:srgbClr val="000000"/>
                  </a:solidFill>
                  <a:latin typeface="Calibri"/>
                  <a:cs typeface="Calibri"/>
                </a:rPr>
                <a:pPr/>
                <a:t>129</a:t>
              </a:fld>
              <a:endParaRPr lang="en-US" sz="2000" b="1"/>
            </a:p>
          </xdr:txBody>
        </xdr:sp>
      </xdr:grpSp>
      <xdr:grpSp>
        <xdr:nvGrpSpPr>
          <xdr:cNvPr id="29" name="Group 28">
            <a:extLst>
              <a:ext uri="{FF2B5EF4-FFF2-40B4-BE49-F238E27FC236}">
                <a16:creationId xmlns:a16="http://schemas.microsoft.com/office/drawing/2014/main" id="{40952E4C-CA63-5E2D-5A41-99A6D32DF16F}"/>
              </a:ext>
            </a:extLst>
          </xdr:cNvPr>
          <xdr:cNvGrpSpPr/>
        </xdr:nvGrpSpPr>
        <xdr:grpSpPr>
          <a:xfrm>
            <a:off x="7044906" y="682925"/>
            <a:ext cx="2372264" cy="844670"/>
            <a:chOff x="16929340" y="3432594"/>
            <a:chExt cx="2372264" cy="844670"/>
          </a:xfrm>
        </xdr:grpSpPr>
        <xdr:sp macro="" textlink="">
          <xdr:nvSpPr>
            <xdr:cNvPr id="26" name="TextBox 25">
              <a:extLst>
                <a:ext uri="{FF2B5EF4-FFF2-40B4-BE49-F238E27FC236}">
                  <a16:creationId xmlns:a16="http://schemas.microsoft.com/office/drawing/2014/main" id="{83190CAA-26E6-DE62-1E72-3A93EE17747C}"/>
                </a:ext>
              </a:extLst>
            </xdr:cNvPr>
            <xdr:cNvSpPr txBox="1"/>
          </xdr:nvSpPr>
          <xdr:spPr>
            <a:xfrm>
              <a:off x="16929340" y="3432594"/>
              <a:ext cx="2372264" cy="844670"/>
            </a:xfrm>
            <a:prstGeom prst="rect">
              <a:avLst/>
            </a:prstGeom>
            <a:solidFill>
              <a:srgbClr val="C00000"/>
            </a:solidFill>
            <a:ln w="28575" cmpd="sng">
              <a:solidFill>
                <a:schemeClr val="accent5">
                  <a:lumMod val="50000"/>
                </a:schemeClr>
              </a:solidFill>
            </a:ln>
            <a:scene3d>
              <a:camera prst="orthographicFront"/>
              <a:lightRig rig="threePt" dir="t"/>
            </a:scene3d>
            <a:sp3d>
              <a:bevelT prst="angle"/>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tx1">
                      <a:lumMod val="50000"/>
                      <a:lumOff val="50000"/>
                    </a:schemeClr>
                  </a:solidFill>
                </a:rPr>
                <a:t>COUNT OF QUANTITY</a:t>
              </a:r>
            </a:p>
          </xdr:txBody>
        </xdr:sp>
        <xdr:sp macro="" textlink="Chart!K1">
          <xdr:nvSpPr>
            <xdr:cNvPr id="27" name="TextBox 26">
              <a:extLst>
                <a:ext uri="{FF2B5EF4-FFF2-40B4-BE49-F238E27FC236}">
                  <a16:creationId xmlns:a16="http://schemas.microsoft.com/office/drawing/2014/main" id="{462EC0A5-ECD8-7196-3128-C91178CC6BCB}"/>
                </a:ext>
              </a:extLst>
            </xdr:cNvPr>
            <xdr:cNvSpPr txBox="1"/>
          </xdr:nvSpPr>
          <xdr:spPr>
            <a:xfrm>
              <a:off x="17666180" y="3756085"/>
              <a:ext cx="503208" cy="413349"/>
            </a:xfrm>
            <a:prstGeom prst="rect">
              <a:avLst/>
            </a:prstGeom>
            <a:solidFill>
              <a:srgbClr val="C00000"/>
            </a:solidFill>
            <a:ln w="28575" cmpd="sng">
              <a:solidFill>
                <a:schemeClr val="accent5">
                  <a:lumMod val="50000"/>
                </a:schemeClr>
              </a:solidFill>
            </a:ln>
            <a:scene3d>
              <a:camera prst="orthographicFront"/>
              <a:lightRig rig="threePt" dir="t"/>
            </a:scene3d>
            <a:sp3d>
              <a:bevelT prst="angle"/>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11DC1BC-19E0-4C78-9BFD-7BD93CE0991F}" type="TxLink">
                <a:rPr lang="en-US" sz="2400" b="1" i="0" u="none" strike="noStrike">
                  <a:solidFill>
                    <a:schemeClr val="tx1">
                      <a:lumMod val="50000"/>
                      <a:lumOff val="50000"/>
                    </a:schemeClr>
                  </a:solidFill>
                  <a:latin typeface="Calibri"/>
                  <a:cs typeface="Calibri"/>
                </a:rPr>
                <a:pPr/>
                <a:t>45</a:t>
              </a:fld>
              <a:endParaRPr lang="en-US" sz="2400" b="1">
                <a:solidFill>
                  <a:schemeClr val="tx1">
                    <a:lumMod val="50000"/>
                    <a:lumOff val="50000"/>
                  </a:schemeClr>
                </a:solidFill>
              </a:endParaRPr>
            </a:p>
          </xdr:txBody>
        </xdr:sp>
      </xdr:grp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57.531214120369" createdVersion="8" refreshedVersion="8" minRefreshableVersion="3" recordCount="45" xr:uid="{0A092B96-EAC1-40F7-A147-7BD42F84FD35}">
  <cacheSource type="worksheet">
    <worksheetSource name="Table1"/>
  </cacheSource>
  <cacheFields count="8">
    <cacheField name="Customer" numFmtId="0">
      <sharedItems count="28">
        <s v="Chris Smith"/>
        <s v="Sarah Rodriguez"/>
        <s v="Name Missing"/>
        <s v="Jane Brown"/>
        <s v="Michael Johnson"/>
        <s v="Emily Garcia"/>
        <s v="Sarah Williams"/>
        <s v="James Rodriguez"/>
        <s v="Jane Martinez"/>
        <s v="Emily Miller"/>
        <s v="James Brown"/>
        <s v="James Jones"/>
        <s v="James Martinez"/>
        <s v="Alex Smith"/>
        <s v="James Garcia"/>
        <s v="Sarah Jones"/>
        <s v="Alex Davis"/>
        <s v="Katie Martinez"/>
        <s v="Katie Jones"/>
        <s v="Michael Williams"/>
        <s v="Jane Miller"/>
        <s v="Laura Jones"/>
        <s v="Emily Johnson"/>
        <s v="Laura Williams"/>
        <s v="Chris Williams"/>
        <s v="Katie Johnson"/>
        <s v="Jane Garcia"/>
        <s v="Sarah Miller"/>
      </sharedItems>
    </cacheField>
    <cacheField name="Restaurant" numFmtId="0">
      <sharedItems/>
    </cacheField>
    <cacheField name="Dish Ordered" numFmtId="0">
      <sharedItems count="11">
        <s v="Sushi"/>
        <s v="Pasta"/>
        <s v="Order Missing"/>
        <s v="Fries"/>
        <s v="Nuggets"/>
        <s v="Taco"/>
        <s v="Salad"/>
        <s v="Sandwich"/>
        <s v="Burger"/>
        <s v="Pizza"/>
        <s v="Wrap"/>
      </sharedItems>
    </cacheField>
    <cacheField name="Rating" numFmtId="0">
      <sharedItems containsSemiMixedTypes="0" containsString="0" containsNumber="1" containsInteger="1" minValue="1" maxValue="5"/>
    </cacheField>
    <cacheField name="Date of Visit" numFmtId="14">
      <sharedItems containsSemiMixedTypes="0" containsNonDate="0" containsDate="1" containsString="0" minDate="2023-01-01T00:00:00" maxDate="2023-02-05T00:00:00"/>
    </cacheField>
    <cacheField name="Feedback" numFmtId="0">
      <sharedItems/>
    </cacheField>
    <cacheField name="Price of Dish Ordered" numFmtId="0">
      <sharedItems containsSemiMixedTypes="0" containsString="0" containsNumber="1" containsInteger="1" minValue="5" maxValue="25" count="9">
        <n v="5"/>
        <n v="20"/>
        <n v="25"/>
        <n v="10"/>
        <n v="15"/>
        <n v="17"/>
        <n v="13"/>
        <n v="22"/>
        <n v="14"/>
      </sharedItems>
    </cacheField>
    <cacheField name="Quantity" numFmtId="0">
      <sharedItems containsSemiMixedTypes="0" containsString="0" containsNumber="1" containsInteger="1" minValue="1" maxValue="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63.442678356485" createdVersion="8" refreshedVersion="8" minRefreshableVersion="3" recordCount="45" xr:uid="{F2382193-17A1-44A3-8CFB-542EF31BF9AF}">
  <cacheSource type="worksheet">
    <worksheetSource name="Table3"/>
  </cacheSource>
  <cacheFields count="11">
    <cacheField name="Customer" numFmtId="0">
      <sharedItems count="28">
        <s v="Chris Smith"/>
        <s v="Sarah Rodriguez"/>
        <s v="Name Missing"/>
        <s v="Jane Brown"/>
        <s v="Michael Johnson"/>
        <s v="Emily Garcia"/>
        <s v="Sarah Williams"/>
        <s v="James Rodriguez"/>
        <s v="Jane Martinez"/>
        <s v="Emily Miller"/>
        <s v="James Brown"/>
        <s v="James Jones"/>
        <s v="James Martinez"/>
        <s v="Alex Smith"/>
        <s v="James Garcia"/>
        <s v="Sarah Jones"/>
        <s v="Alex Davis"/>
        <s v="Katie Martinez"/>
        <s v="Katie Jones"/>
        <s v="Michael Williams"/>
        <s v="Jane Miller"/>
        <s v="Laura Jones"/>
        <s v="Emily Johnson"/>
        <s v="Laura Williams"/>
        <s v="Chris Williams"/>
        <s v="Katie Johnson"/>
        <s v="Jane Garcia"/>
        <s v="Sarah Miller"/>
      </sharedItems>
    </cacheField>
    <cacheField name="Restaurant" numFmtId="0">
      <sharedItems/>
    </cacheField>
    <cacheField name="Dish Ordered" numFmtId="0">
      <sharedItems count="11">
        <s v="Sushi"/>
        <s v="Pasta"/>
        <s v="Order Missing"/>
        <s v="Fries"/>
        <s v="Nuggets"/>
        <s v="Taco"/>
        <s v="Salad"/>
        <s v="Sandwich"/>
        <s v="Burger"/>
        <s v="Pizza"/>
        <s v="Wrap"/>
      </sharedItems>
    </cacheField>
    <cacheField name="Rating" numFmtId="0">
      <sharedItems containsSemiMixedTypes="0" containsString="0" containsNumber="1" containsInteger="1" minValue="1" maxValue="5"/>
    </cacheField>
    <cacheField name="Date of Visit" numFmtId="14">
      <sharedItems containsSemiMixedTypes="0" containsNonDate="0" containsDate="1" containsString="0" minDate="2023-01-01T00:00:00" maxDate="2023-02-05T00:00:00" count="31">
        <d v="2023-01-21T00:00:00"/>
        <d v="2023-01-22T00:00:00"/>
        <d v="2023-01-24T00:00:00"/>
        <d v="2023-02-03T00:00:00"/>
        <d v="2023-01-14T00:00:00"/>
        <d v="2023-02-04T00:00:00"/>
        <d v="2023-02-01T00:00:00"/>
        <d v="2023-01-31T00:00:00"/>
        <d v="2023-01-15T00:00:00"/>
        <d v="2023-01-18T00:00:00"/>
        <d v="2023-01-03T00:00:00"/>
        <d v="2023-01-26T00:00:00"/>
        <d v="2023-01-25T00:00:00"/>
        <d v="2023-02-02T00:00:00"/>
        <d v="2023-01-23T00:00:00"/>
        <d v="2023-01-04T00:00:00"/>
        <d v="2023-01-08T00:00:00"/>
        <d v="2023-01-20T00:00:00"/>
        <d v="2023-01-01T00:00:00"/>
        <d v="2023-01-19T00:00:00"/>
        <d v="2023-01-16T00:00:00"/>
        <d v="2023-01-29T00:00:00"/>
        <d v="2023-01-05T00:00:00"/>
        <d v="2023-01-02T00:00:00"/>
        <d v="2023-01-27T00:00:00"/>
        <d v="2023-01-13T00:00:00"/>
        <d v="2023-01-07T00:00:00"/>
        <d v="2023-01-17T00:00:00"/>
        <d v="2023-01-10T00:00:00"/>
        <d v="2023-01-09T00:00:00"/>
        <d v="2023-01-12T00:00:00"/>
      </sharedItems>
      <fieldGroup par="10"/>
    </cacheField>
    <cacheField name="Feedback" numFmtId="0">
      <sharedItems/>
    </cacheField>
    <cacheField name="Price of Dish Ordered" numFmtId="0">
      <sharedItems containsSemiMixedTypes="0" containsString="0" containsNumber="1" containsInteger="1" minValue="5" maxValue="25" count="9">
        <n v="5"/>
        <n v="20"/>
        <n v="25"/>
        <n v="10"/>
        <n v="15"/>
        <n v="17"/>
        <n v="13"/>
        <n v="22"/>
        <n v="14"/>
      </sharedItems>
    </cacheField>
    <cacheField name="Quantity" numFmtId="0">
      <sharedItems containsSemiMixedTypes="0" containsString="0" containsNumber="1" containsInteger="1" minValue="1" maxValue="5" count="5">
        <n v="4"/>
        <n v="3"/>
        <n v="1"/>
        <n v="5"/>
        <n v="2"/>
      </sharedItems>
    </cacheField>
    <cacheField name="Column1" numFmtId="0">
      <sharedItems containsMixedTypes="1" containsNumber="1" containsInteger="1" minValue="5" maxValue="125" count="18">
        <s v="Revenue"/>
        <n v="20"/>
        <n v="60"/>
        <n v="5"/>
        <n v="125"/>
        <n v="40"/>
        <n v="100"/>
        <n v="75"/>
        <n v="30"/>
        <n v="15"/>
        <n v="50"/>
        <n v="17"/>
        <n v="65"/>
        <n v="44"/>
        <n v="10"/>
        <n v="25"/>
        <n v="42"/>
        <n v="80"/>
      </sharedItems>
    </cacheField>
    <cacheField name="Days (Date of Visit)" numFmtId="0" databaseField="0">
      <fieldGroup base="4">
        <rangePr groupBy="days" startDate="2023-01-01T00:00:00" endDate="2023-02-05T00:00:00"/>
        <groupItems count="368">
          <s v="&lt;1/1/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2/5/2023"/>
        </groupItems>
      </fieldGroup>
    </cacheField>
    <cacheField name="Months (Date of Visit)" numFmtId="0" databaseField="0">
      <fieldGroup base="4">
        <rangePr groupBy="months" startDate="2023-01-01T00:00:00" endDate="2023-02-05T00:00:00"/>
        <groupItems count="14">
          <s v="&lt;1/1/2023"/>
          <s v="Jan"/>
          <s v="Feb"/>
          <s v="Mar"/>
          <s v="Apr"/>
          <s v="May"/>
          <s v="Jun"/>
          <s v="Jul"/>
          <s v="Aug"/>
          <s v="Sep"/>
          <s v="Oct"/>
          <s v="Nov"/>
          <s v="Dec"/>
          <s v="&gt;2/5/2023"/>
        </groupItems>
      </fieldGroup>
    </cacheField>
  </cacheFields>
  <extLst>
    <ext xmlns:x14="http://schemas.microsoft.com/office/spreadsheetml/2009/9/main" uri="{725AE2AE-9491-48be-B2B4-4EB974FC3084}">
      <x14:pivotCacheDefinition pivotCacheId="3688371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
  <r>
    <x v="0"/>
    <s v="McDonalds"/>
    <x v="0"/>
    <n v="2"/>
    <d v="2023-01-21T00:00:00"/>
    <s v="Good service"/>
    <x v="0"/>
    <n v="4"/>
  </r>
  <r>
    <x v="1"/>
    <s v="Burger King"/>
    <x v="1"/>
    <n v="1"/>
    <d v="2023-01-22T00:00:00"/>
    <s v="Good service"/>
    <x v="1"/>
    <n v="3"/>
  </r>
  <r>
    <x v="2"/>
    <s v="Omitted"/>
    <x v="2"/>
    <n v="2"/>
    <d v="2023-01-21T00:00:00"/>
    <s v="Good service"/>
    <x v="0"/>
    <n v="1"/>
  </r>
  <r>
    <x v="3"/>
    <s v="McDonalds"/>
    <x v="3"/>
    <n v="2"/>
    <d v="2023-01-24T00:00:00"/>
    <s v="Good service"/>
    <x v="0"/>
    <n v="1"/>
  </r>
  <r>
    <x v="4"/>
    <s v="McDonalds"/>
    <x v="2"/>
    <n v="4"/>
    <d v="2023-01-21T00:00:00"/>
    <s v="Good service"/>
    <x v="0"/>
    <n v="1"/>
  </r>
  <r>
    <x v="5"/>
    <s v="McDonalds"/>
    <x v="4"/>
    <n v="1"/>
    <d v="2023-02-03T00:00:00"/>
    <s v="Good service"/>
    <x v="2"/>
    <n v="5"/>
  </r>
  <r>
    <x v="6"/>
    <s v="McDonalds"/>
    <x v="5"/>
    <n v="5"/>
    <d v="2023-01-14T00:00:00"/>
    <s v="Good service"/>
    <x v="3"/>
    <n v="4"/>
  </r>
  <r>
    <x v="7"/>
    <s v="Dominos"/>
    <x v="0"/>
    <n v="2"/>
    <d v="2023-02-04T00:00:00"/>
    <s v="Good service"/>
    <x v="1"/>
    <n v="5"/>
  </r>
  <r>
    <x v="8"/>
    <s v="Subway"/>
    <x v="1"/>
    <n v="1"/>
    <d v="2023-02-01T00:00:00"/>
    <s v="Good service"/>
    <x v="2"/>
    <n v="4"/>
  </r>
  <r>
    <x v="2"/>
    <s v="KFC"/>
    <x v="6"/>
    <n v="3"/>
    <d v="2023-01-21T00:00:00"/>
    <s v="Good service"/>
    <x v="2"/>
    <n v="5"/>
  </r>
  <r>
    <x v="9"/>
    <s v="McDonalds"/>
    <x v="5"/>
    <n v="1"/>
    <d v="2023-01-31T00:00:00"/>
    <s v="Good service"/>
    <x v="2"/>
    <n v="5"/>
  </r>
  <r>
    <x v="7"/>
    <s v="Dominos"/>
    <x v="0"/>
    <n v="2"/>
    <d v="2023-02-04T00:00:00"/>
    <s v="Good service"/>
    <x v="2"/>
    <n v="3"/>
  </r>
  <r>
    <x v="10"/>
    <s v="McDonalds"/>
    <x v="0"/>
    <n v="1"/>
    <d v="2023-01-15T00:00:00"/>
    <s v="Good service"/>
    <x v="2"/>
    <n v="5"/>
  </r>
  <r>
    <x v="11"/>
    <s v="Omitted"/>
    <x v="3"/>
    <n v="2"/>
    <d v="2023-01-18T00:00:00"/>
    <s v="Good service"/>
    <x v="4"/>
    <n v="2"/>
  </r>
  <r>
    <x v="12"/>
    <s v="KFC"/>
    <x v="6"/>
    <n v="1"/>
    <d v="2023-01-03T00:00:00"/>
    <s v="Good service"/>
    <x v="1"/>
    <n v="3"/>
  </r>
  <r>
    <x v="13"/>
    <s v="Dominos"/>
    <x v="3"/>
    <n v="2"/>
    <d v="2023-01-26T00:00:00"/>
    <s v="Good service"/>
    <x v="2"/>
    <n v="5"/>
  </r>
  <r>
    <x v="2"/>
    <s v="Omitted"/>
    <x v="2"/>
    <n v="2"/>
    <d v="2023-01-21T00:00:00"/>
    <s v="Good service"/>
    <x v="1"/>
    <n v="1"/>
  </r>
  <r>
    <x v="14"/>
    <s v="Burger King"/>
    <x v="2"/>
    <n v="4"/>
    <d v="2023-01-25T00:00:00"/>
    <s v="Good service"/>
    <x v="4"/>
    <n v="2"/>
  </r>
  <r>
    <x v="2"/>
    <s v="Omitted"/>
    <x v="2"/>
    <n v="2"/>
    <d v="2023-01-21T00:00:00"/>
    <s v="Good service"/>
    <x v="4"/>
    <n v="2"/>
  </r>
  <r>
    <x v="2"/>
    <s v="KFC"/>
    <x v="6"/>
    <n v="3"/>
    <d v="2023-02-02T00:00:00"/>
    <s v="Good service"/>
    <x v="1"/>
    <n v="2"/>
  </r>
  <r>
    <x v="5"/>
    <s v="McDonalds"/>
    <x v="7"/>
    <n v="3"/>
    <d v="2023-01-21T00:00:00"/>
    <s v="Good service"/>
    <x v="0"/>
    <n v="3"/>
  </r>
  <r>
    <x v="15"/>
    <s v="Burger King"/>
    <x v="3"/>
    <n v="1"/>
    <d v="2023-01-23T00:00:00"/>
    <s v="Good service"/>
    <x v="3"/>
    <n v="5"/>
  </r>
  <r>
    <x v="16"/>
    <s v="Dominos"/>
    <x v="7"/>
    <n v="1"/>
    <d v="2023-01-04T00:00:00"/>
    <s v="Good service"/>
    <x v="0"/>
    <n v="3"/>
  </r>
  <r>
    <x v="17"/>
    <s v="Subway"/>
    <x v="0"/>
    <n v="5"/>
    <d v="2023-01-21T00:00:00"/>
    <s v="Good service"/>
    <x v="5"/>
    <n v="1"/>
  </r>
  <r>
    <x v="18"/>
    <s v="Subway"/>
    <x v="7"/>
    <n v="4"/>
    <d v="2023-01-08T00:00:00"/>
    <s v="Good service"/>
    <x v="0"/>
    <n v="1"/>
  </r>
  <r>
    <x v="2"/>
    <s v="Omitted"/>
    <x v="2"/>
    <n v="2"/>
    <d v="2023-01-21T00:00:00"/>
    <s v="Good service"/>
    <x v="2"/>
    <n v="3"/>
  </r>
  <r>
    <x v="3"/>
    <s v="Omitted"/>
    <x v="4"/>
    <n v="1"/>
    <d v="2023-01-20T00:00:00"/>
    <s v="Good service"/>
    <x v="4"/>
    <n v="1"/>
  </r>
  <r>
    <x v="1"/>
    <s v="Burger King"/>
    <x v="1"/>
    <n v="1"/>
    <d v="2023-01-22T00:00:00"/>
    <s v="Good service"/>
    <x v="0"/>
    <n v="3"/>
  </r>
  <r>
    <x v="10"/>
    <s v="Dominos"/>
    <x v="7"/>
    <n v="4"/>
    <d v="2023-01-01T00:00:00"/>
    <s v="Good service"/>
    <x v="6"/>
    <n v="5"/>
  </r>
  <r>
    <x v="2"/>
    <s v="Burger King"/>
    <x v="8"/>
    <n v="3"/>
    <d v="2023-01-19T00:00:00"/>
    <s v="Good service"/>
    <x v="7"/>
    <n v="2"/>
  </r>
  <r>
    <x v="19"/>
    <s v="McDonalds"/>
    <x v="0"/>
    <n v="3"/>
    <d v="2023-01-16T00:00:00"/>
    <s v="Good service"/>
    <x v="3"/>
    <n v="1"/>
  </r>
  <r>
    <x v="18"/>
    <s v="Subway"/>
    <x v="7"/>
    <n v="4"/>
    <d v="2023-01-08T00:00:00"/>
    <s v="Good service"/>
    <x v="1"/>
    <n v="3"/>
  </r>
  <r>
    <x v="2"/>
    <s v="Burger King"/>
    <x v="8"/>
    <n v="3"/>
    <d v="2023-01-19T00:00:00"/>
    <s v="Good service"/>
    <x v="1"/>
    <n v="3"/>
  </r>
  <r>
    <x v="20"/>
    <s v="McDonalds"/>
    <x v="9"/>
    <n v="2"/>
    <d v="2023-01-29T00:00:00"/>
    <s v="Good service"/>
    <x v="2"/>
    <n v="1"/>
  </r>
  <r>
    <x v="21"/>
    <s v="KFC"/>
    <x v="2"/>
    <n v="1"/>
    <d v="2023-01-05T00:00:00"/>
    <s v="Good service"/>
    <x v="3"/>
    <n v="3"/>
  </r>
  <r>
    <x v="21"/>
    <s v="Omitted"/>
    <x v="10"/>
    <n v="1"/>
    <d v="2023-01-02T00:00:00"/>
    <s v="Good service"/>
    <x v="1"/>
    <n v="1"/>
  </r>
  <r>
    <x v="22"/>
    <s v="KFC"/>
    <x v="7"/>
    <n v="2"/>
    <d v="2023-01-27T00:00:00"/>
    <s v="Good service"/>
    <x v="1"/>
    <n v="2"/>
  </r>
  <r>
    <x v="2"/>
    <s v="Omitted"/>
    <x v="2"/>
    <n v="2"/>
    <d v="2023-01-21T00:00:00"/>
    <s v="Good service"/>
    <x v="3"/>
    <n v="1"/>
  </r>
  <r>
    <x v="2"/>
    <s v="Dominos"/>
    <x v="3"/>
    <n v="1"/>
    <d v="2023-01-13T00:00:00"/>
    <s v="Good service"/>
    <x v="8"/>
    <n v="3"/>
  </r>
  <r>
    <x v="23"/>
    <s v="Subway"/>
    <x v="1"/>
    <n v="1"/>
    <d v="2023-01-07T00:00:00"/>
    <s v="Good service"/>
    <x v="1"/>
    <n v="1"/>
  </r>
  <r>
    <x v="6"/>
    <s v="McDonalds"/>
    <x v="5"/>
    <n v="5"/>
    <d v="2023-01-14T00:00:00"/>
    <s v="Good service"/>
    <x v="3"/>
    <n v="5"/>
  </r>
  <r>
    <x v="24"/>
    <s v="McDonalds"/>
    <x v="7"/>
    <n v="2"/>
    <d v="2023-01-17T00:00:00"/>
    <s v="Good service"/>
    <x v="1"/>
    <n v="4"/>
  </r>
  <r>
    <x v="25"/>
    <s v="Omitted"/>
    <x v="1"/>
    <n v="1"/>
    <d v="2023-01-10T00:00:00"/>
    <s v="Good service"/>
    <x v="1"/>
    <n v="1"/>
  </r>
  <r>
    <x v="26"/>
    <s v="Subway"/>
    <x v="8"/>
    <n v="5"/>
    <d v="2023-01-09T00:00:00"/>
    <s v="Good service"/>
    <x v="2"/>
    <n v="5"/>
  </r>
  <r>
    <x v="27"/>
    <s v="Dominos"/>
    <x v="2"/>
    <n v="3"/>
    <d v="2023-01-12T00:00:00"/>
    <s v="Good service"/>
    <x v="0"/>
    <n v="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
  <r>
    <x v="0"/>
    <s v="McDonalds"/>
    <x v="0"/>
    <n v="2"/>
    <x v="0"/>
    <s v="Good service"/>
    <x v="0"/>
    <x v="0"/>
    <x v="0"/>
  </r>
  <r>
    <x v="1"/>
    <s v="Burger King"/>
    <x v="1"/>
    <n v="1"/>
    <x v="1"/>
    <s v="Good service"/>
    <x v="1"/>
    <x v="1"/>
    <x v="1"/>
  </r>
  <r>
    <x v="2"/>
    <s v="Omitted"/>
    <x v="2"/>
    <n v="2"/>
    <x v="0"/>
    <s v="Good service"/>
    <x v="0"/>
    <x v="2"/>
    <x v="2"/>
  </r>
  <r>
    <x v="3"/>
    <s v="McDonalds"/>
    <x v="3"/>
    <n v="2"/>
    <x v="2"/>
    <s v="Good service"/>
    <x v="0"/>
    <x v="2"/>
    <x v="3"/>
  </r>
  <r>
    <x v="4"/>
    <s v="McDonalds"/>
    <x v="2"/>
    <n v="4"/>
    <x v="0"/>
    <s v="Good service"/>
    <x v="0"/>
    <x v="2"/>
    <x v="3"/>
  </r>
  <r>
    <x v="5"/>
    <s v="McDonalds"/>
    <x v="4"/>
    <n v="1"/>
    <x v="3"/>
    <s v="Good service"/>
    <x v="2"/>
    <x v="3"/>
    <x v="3"/>
  </r>
  <r>
    <x v="6"/>
    <s v="McDonalds"/>
    <x v="5"/>
    <n v="5"/>
    <x v="4"/>
    <s v="Good service"/>
    <x v="3"/>
    <x v="0"/>
    <x v="4"/>
  </r>
  <r>
    <x v="7"/>
    <s v="Dominos"/>
    <x v="0"/>
    <n v="2"/>
    <x v="5"/>
    <s v="Good service"/>
    <x v="1"/>
    <x v="3"/>
    <x v="5"/>
  </r>
  <r>
    <x v="8"/>
    <s v="Subway"/>
    <x v="1"/>
    <n v="1"/>
    <x v="6"/>
    <s v="Good service"/>
    <x v="2"/>
    <x v="0"/>
    <x v="6"/>
  </r>
  <r>
    <x v="2"/>
    <s v="KFC"/>
    <x v="6"/>
    <n v="3"/>
    <x v="0"/>
    <s v="Good service"/>
    <x v="2"/>
    <x v="3"/>
    <x v="6"/>
  </r>
  <r>
    <x v="9"/>
    <s v="McDonalds"/>
    <x v="5"/>
    <n v="1"/>
    <x v="7"/>
    <s v="Good service"/>
    <x v="2"/>
    <x v="3"/>
    <x v="4"/>
  </r>
  <r>
    <x v="7"/>
    <s v="Dominos"/>
    <x v="0"/>
    <n v="2"/>
    <x v="5"/>
    <s v="Good service"/>
    <x v="2"/>
    <x v="1"/>
    <x v="4"/>
  </r>
  <r>
    <x v="10"/>
    <s v="McDonalds"/>
    <x v="0"/>
    <n v="1"/>
    <x v="8"/>
    <s v="Good service"/>
    <x v="2"/>
    <x v="3"/>
    <x v="7"/>
  </r>
  <r>
    <x v="11"/>
    <s v="Omitted"/>
    <x v="3"/>
    <n v="2"/>
    <x v="9"/>
    <s v="Good service"/>
    <x v="4"/>
    <x v="4"/>
    <x v="4"/>
  </r>
  <r>
    <x v="12"/>
    <s v="KFC"/>
    <x v="6"/>
    <n v="1"/>
    <x v="10"/>
    <s v="Good service"/>
    <x v="1"/>
    <x v="1"/>
    <x v="8"/>
  </r>
  <r>
    <x v="13"/>
    <s v="Dominos"/>
    <x v="3"/>
    <n v="2"/>
    <x v="11"/>
    <s v="Good service"/>
    <x v="2"/>
    <x v="3"/>
    <x v="2"/>
  </r>
  <r>
    <x v="2"/>
    <s v="Omitted"/>
    <x v="2"/>
    <n v="2"/>
    <x v="0"/>
    <s v="Good service"/>
    <x v="1"/>
    <x v="2"/>
    <x v="4"/>
  </r>
  <r>
    <x v="14"/>
    <s v="Burger King"/>
    <x v="2"/>
    <n v="4"/>
    <x v="12"/>
    <s v="Good service"/>
    <x v="4"/>
    <x v="4"/>
    <x v="1"/>
  </r>
  <r>
    <x v="2"/>
    <s v="Omitted"/>
    <x v="2"/>
    <n v="2"/>
    <x v="0"/>
    <s v="Good service"/>
    <x v="4"/>
    <x v="4"/>
    <x v="8"/>
  </r>
  <r>
    <x v="2"/>
    <s v="KFC"/>
    <x v="6"/>
    <n v="3"/>
    <x v="13"/>
    <s v="Good service"/>
    <x v="1"/>
    <x v="4"/>
    <x v="8"/>
  </r>
  <r>
    <x v="5"/>
    <s v="McDonalds"/>
    <x v="7"/>
    <n v="3"/>
    <x v="0"/>
    <s v="Good service"/>
    <x v="0"/>
    <x v="1"/>
    <x v="5"/>
  </r>
  <r>
    <x v="15"/>
    <s v="Burger King"/>
    <x v="3"/>
    <n v="1"/>
    <x v="14"/>
    <s v="Good service"/>
    <x v="3"/>
    <x v="3"/>
    <x v="9"/>
  </r>
  <r>
    <x v="16"/>
    <s v="Dominos"/>
    <x v="7"/>
    <n v="1"/>
    <x v="15"/>
    <s v="Good service"/>
    <x v="0"/>
    <x v="1"/>
    <x v="10"/>
  </r>
  <r>
    <x v="17"/>
    <s v="Subway"/>
    <x v="0"/>
    <n v="5"/>
    <x v="0"/>
    <s v="Good service"/>
    <x v="5"/>
    <x v="2"/>
    <x v="9"/>
  </r>
  <r>
    <x v="18"/>
    <s v="Subway"/>
    <x v="7"/>
    <n v="4"/>
    <x v="16"/>
    <s v="Good service"/>
    <x v="0"/>
    <x v="2"/>
    <x v="11"/>
  </r>
  <r>
    <x v="2"/>
    <s v="Omitted"/>
    <x v="2"/>
    <n v="2"/>
    <x v="0"/>
    <s v="Good service"/>
    <x v="2"/>
    <x v="1"/>
    <x v="3"/>
  </r>
  <r>
    <x v="3"/>
    <s v="Omitted"/>
    <x v="4"/>
    <n v="1"/>
    <x v="17"/>
    <s v="Good service"/>
    <x v="4"/>
    <x v="2"/>
    <x v="7"/>
  </r>
  <r>
    <x v="1"/>
    <s v="Burger King"/>
    <x v="1"/>
    <n v="1"/>
    <x v="1"/>
    <s v="Good service"/>
    <x v="0"/>
    <x v="1"/>
    <x v="9"/>
  </r>
  <r>
    <x v="10"/>
    <s v="Dominos"/>
    <x v="7"/>
    <n v="4"/>
    <x v="18"/>
    <s v="Good service"/>
    <x v="6"/>
    <x v="3"/>
    <x v="9"/>
  </r>
  <r>
    <x v="2"/>
    <s v="Burger King"/>
    <x v="8"/>
    <n v="3"/>
    <x v="19"/>
    <s v="Good service"/>
    <x v="7"/>
    <x v="4"/>
    <x v="12"/>
  </r>
  <r>
    <x v="19"/>
    <s v="McDonalds"/>
    <x v="0"/>
    <n v="3"/>
    <x v="20"/>
    <s v="Good service"/>
    <x v="3"/>
    <x v="2"/>
    <x v="13"/>
  </r>
  <r>
    <x v="18"/>
    <s v="Subway"/>
    <x v="7"/>
    <n v="4"/>
    <x v="16"/>
    <s v="Good service"/>
    <x v="1"/>
    <x v="1"/>
    <x v="14"/>
  </r>
  <r>
    <x v="2"/>
    <s v="Burger King"/>
    <x v="8"/>
    <n v="3"/>
    <x v="19"/>
    <s v="Good service"/>
    <x v="1"/>
    <x v="1"/>
    <x v="2"/>
  </r>
  <r>
    <x v="20"/>
    <s v="McDonalds"/>
    <x v="9"/>
    <n v="2"/>
    <x v="21"/>
    <s v="Good service"/>
    <x v="2"/>
    <x v="2"/>
    <x v="2"/>
  </r>
  <r>
    <x v="21"/>
    <s v="KFC"/>
    <x v="2"/>
    <n v="1"/>
    <x v="22"/>
    <s v="Good service"/>
    <x v="3"/>
    <x v="1"/>
    <x v="15"/>
  </r>
  <r>
    <x v="21"/>
    <s v="Omitted"/>
    <x v="10"/>
    <n v="1"/>
    <x v="23"/>
    <s v="Good service"/>
    <x v="1"/>
    <x v="2"/>
    <x v="8"/>
  </r>
  <r>
    <x v="22"/>
    <s v="KFC"/>
    <x v="7"/>
    <n v="2"/>
    <x v="24"/>
    <s v="Good service"/>
    <x v="1"/>
    <x v="4"/>
    <x v="1"/>
  </r>
  <r>
    <x v="2"/>
    <s v="Omitted"/>
    <x v="2"/>
    <n v="2"/>
    <x v="0"/>
    <s v="Good service"/>
    <x v="3"/>
    <x v="2"/>
    <x v="5"/>
  </r>
  <r>
    <x v="2"/>
    <s v="Dominos"/>
    <x v="3"/>
    <n v="1"/>
    <x v="25"/>
    <s v="Good service"/>
    <x v="8"/>
    <x v="1"/>
    <x v="14"/>
  </r>
  <r>
    <x v="23"/>
    <s v="Subway"/>
    <x v="1"/>
    <n v="1"/>
    <x v="26"/>
    <s v="Good service"/>
    <x v="1"/>
    <x v="2"/>
    <x v="16"/>
  </r>
  <r>
    <x v="6"/>
    <s v="McDonalds"/>
    <x v="5"/>
    <n v="5"/>
    <x v="4"/>
    <s v="Good service"/>
    <x v="3"/>
    <x v="3"/>
    <x v="1"/>
  </r>
  <r>
    <x v="24"/>
    <s v="McDonalds"/>
    <x v="7"/>
    <n v="2"/>
    <x v="27"/>
    <s v="Good service"/>
    <x v="1"/>
    <x v="0"/>
    <x v="10"/>
  </r>
  <r>
    <x v="25"/>
    <s v="Omitted"/>
    <x v="1"/>
    <n v="1"/>
    <x v="28"/>
    <s v="Good service"/>
    <x v="1"/>
    <x v="2"/>
    <x v="17"/>
  </r>
  <r>
    <x v="26"/>
    <s v="Subway"/>
    <x v="8"/>
    <n v="5"/>
    <x v="29"/>
    <s v="Good service"/>
    <x v="2"/>
    <x v="3"/>
    <x v="1"/>
  </r>
  <r>
    <x v="27"/>
    <s v="Dominos"/>
    <x v="2"/>
    <n v="3"/>
    <x v="30"/>
    <s v="Good service"/>
    <x v="0"/>
    <x v="3"/>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23AFA3-D742-4759-A204-48070A8EE48D}"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N3:Q17" firstHeaderRow="1" firstDataRow="3" firstDataCol="1"/>
  <pivotFields count="11">
    <pivotField showAll="0">
      <items count="29">
        <item x="16"/>
        <item x="13"/>
        <item x="0"/>
        <item x="24"/>
        <item x="5"/>
        <item x="22"/>
        <item x="9"/>
        <item x="10"/>
        <item x="14"/>
        <item x="11"/>
        <item x="12"/>
        <item x="7"/>
        <item x="3"/>
        <item x="26"/>
        <item x="8"/>
        <item x="20"/>
        <item x="25"/>
        <item x="18"/>
        <item x="17"/>
        <item x="21"/>
        <item x="23"/>
        <item x="4"/>
        <item x="19"/>
        <item x="2"/>
        <item x="15"/>
        <item x="27"/>
        <item x="1"/>
        <item x="6"/>
        <item t="default"/>
      </items>
    </pivotField>
    <pivotField showAll="0"/>
    <pivotField axis="axisRow" showAll="0">
      <items count="12">
        <item x="8"/>
        <item x="3"/>
        <item x="4"/>
        <item x="2"/>
        <item x="1"/>
        <item x="9"/>
        <item x="6"/>
        <item x="7"/>
        <item x="0"/>
        <item x="5"/>
        <item x="10"/>
        <item t="default"/>
      </items>
    </pivotField>
    <pivotField showAll="0"/>
    <pivotField axis="axisCol" numFmtId="14" showAll="0">
      <items count="32">
        <item x="18"/>
        <item x="23"/>
        <item x="10"/>
        <item x="15"/>
        <item x="22"/>
        <item x="26"/>
        <item x="16"/>
        <item x="29"/>
        <item x="28"/>
        <item x="30"/>
        <item x="25"/>
        <item x="4"/>
        <item x="8"/>
        <item x="20"/>
        <item x="27"/>
        <item x="9"/>
        <item x="19"/>
        <item x="17"/>
        <item x="0"/>
        <item x="1"/>
        <item x="14"/>
        <item x="2"/>
        <item x="12"/>
        <item x="11"/>
        <item x="24"/>
        <item x="21"/>
        <item x="7"/>
        <item x="6"/>
        <item x="13"/>
        <item x="3"/>
        <item x="5"/>
        <item t="default"/>
      </items>
    </pivotField>
    <pivotField showAll="0"/>
    <pivotField dataField="1" showAll="0">
      <items count="10">
        <item x="0"/>
        <item x="3"/>
        <item x="6"/>
        <item x="8"/>
        <item x="4"/>
        <item x="5"/>
        <item x="1"/>
        <item x="7"/>
        <item x="2"/>
        <item t="default"/>
      </items>
    </pivotField>
    <pivotField showAll="0">
      <items count="6">
        <item x="2"/>
        <item x="4"/>
        <item x="1"/>
        <item x="0"/>
        <item x="3"/>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Col"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12">
    <i>
      <x/>
    </i>
    <i>
      <x v="1"/>
    </i>
    <i>
      <x v="2"/>
    </i>
    <i>
      <x v="3"/>
    </i>
    <i>
      <x v="4"/>
    </i>
    <i>
      <x v="5"/>
    </i>
    <i>
      <x v="6"/>
    </i>
    <i>
      <x v="7"/>
    </i>
    <i>
      <x v="8"/>
    </i>
    <i>
      <x v="9"/>
    </i>
    <i>
      <x v="10"/>
    </i>
    <i t="grand">
      <x/>
    </i>
  </rowItems>
  <colFields count="2">
    <field x="10"/>
    <field x="4"/>
  </colFields>
  <colItems count="3">
    <i>
      <x v="1"/>
    </i>
    <i>
      <x v="2"/>
    </i>
    <i t="grand">
      <x/>
    </i>
  </colItems>
  <dataFields count="1">
    <dataField name="Sum of Price of Dish Ordered" fld="6" baseField="0" baseItem="0"/>
  </dataFields>
  <chartFormats count="6">
    <chartFormat chart="0" format="0" series="1">
      <pivotArea type="data" outline="0" fieldPosition="0">
        <references count="2">
          <reference field="4294967294" count="1" selected="0">
            <x v="0"/>
          </reference>
          <reference field="10" count="1" selected="0">
            <x v="1"/>
          </reference>
        </references>
      </pivotArea>
    </chartFormat>
    <chartFormat chart="0" format="1" series="1">
      <pivotArea type="data" outline="0" fieldPosition="0">
        <references count="2">
          <reference field="4294967294" count="1" selected="0">
            <x v="0"/>
          </reference>
          <reference field="10" count="1" selected="0">
            <x v="2"/>
          </reference>
        </references>
      </pivotArea>
    </chartFormat>
    <chartFormat chart="3" format="4" series="1">
      <pivotArea type="data" outline="0" fieldPosition="0">
        <references count="2">
          <reference field="4294967294" count="1" selected="0">
            <x v="0"/>
          </reference>
          <reference field="10" count="1" selected="0">
            <x v="1"/>
          </reference>
        </references>
      </pivotArea>
    </chartFormat>
    <chartFormat chart="3" format="5" series="1">
      <pivotArea type="data" outline="0" fieldPosition="0">
        <references count="2">
          <reference field="4294967294" count="1" selected="0">
            <x v="0"/>
          </reference>
          <reference field="10" count="1" selected="0">
            <x v="2"/>
          </reference>
        </references>
      </pivotArea>
    </chartFormat>
    <chartFormat chart="5" format="6" series="1">
      <pivotArea type="data" outline="0" fieldPosition="0">
        <references count="2">
          <reference field="4294967294" count="1" selected="0">
            <x v="0"/>
          </reference>
          <reference field="10" count="1" selected="0">
            <x v="1"/>
          </reference>
        </references>
      </pivotArea>
    </chartFormat>
    <chartFormat chart="5" format="7"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4E4A06-FAD0-4D9B-8DFC-BB368F61F62F}"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2:B25" firstHeaderRow="1" firstDataRow="1" firstDataCol="1"/>
  <pivotFields count="11">
    <pivotField showAll="0">
      <items count="29">
        <item x="16"/>
        <item x="13"/>
        <item x="0"/>
        <item x="24"/>
        <item x="5"/>
        <item x="22"/>
        <item x="9"/>
        <item x="10"/>
        <item x="14"/>
        <item x="11"/>
        <item x="12"/>
        <item x="7"/>
        <item x="3"/>
        <item x="26"/>
        <item x="8"/>
        <item x="20"/>
        <item x="25"/>
        <item x="18"/>
        <item x="17"/>
        <item x="21"/>
        <item x="23"/>
        <item x="4"/>
        <item x="19"/>
        <item x="2"/>
        <item x="15"/>
        <item x="27"/>
        <item x="1"/>
        <item x="6"/>
        <item t="default"/>
      </items>
    </pivotField>
    <pivotField showAll="0"/>
    <pivotField showAll="0">
      <items count="12">
        <item x="8"/>
        <item x="3"/>
        <item x="4"/>
        <item x="2"/>
        <item x="1"/>
        <item x="9"/>
        <item x="6"/>
        <item x="7"/>
        <item x="0"/>
        <item x="5"/>
        <item x="10"/>
        <item t="default"/>
      </items>
    </pivotField>
    <pivotField showAll="0"/>
    <pivotField axis="axisRow" numFmtId="14" showAll="0">
      <items count="32">
        <item x="18"/>
        <item x="23"/>
        <item x="10"/>
        <item x="15"/>
        <item x="22"/>
        <item x="26"/>
        <item x="16"/>
        <item x="29"/>
        <item x="28"/>
        <item x="30"/>
        <item x="25"/>
        <item x="4"/>
        <item x="8"/>
        <item x="20"/>
        <item x="27"/>
        <item x="9"/>
        <item x="19"/>
        <item x="17"/>
        <item x="0"/>
        <item x="1"/>
        <item x="14"/>
        <item x="2"/>
        <item x="12"/>
        <item x="11"/>
        <item x="24"/>
        <item x="21"/>
        <item x="7"/>
        <item x="6"/>
        <item x="13"/>
        <item x="3"/>
        <item x="5"/>
        <item t="default"/>
      </items>
    </pivotField>
    <pivotField showAll="0"/>
    <pivotField dataField="1" showAll="0">
      <items count="10">
        <item x="0"/>
        <item x="3"/>
        <item x="6"/>
        <item x="8"/>
        <item x="4"/>
        <item x="5"/>
        <item x="1"/>
        <item x="7"/>
        <item x="2"/>
        <item t="default"/>
      </items>
    </pivotField>
    <pivotField showAll="0">
      <items count="6">
        <item x="2"/>
        <item x="4"/>
        <item x="1"/>
        <item x="0"/>
        <item x="3"/>
        <item t="default"/>
      </items>
    </pivotField>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0"/>
    <field x="9"/>
    <field x="4"/>
  </rowFields>
  <rowItems count="3">
    <i>
      <x v="1"/>
    </i>
    <i>
      <x v="2"/>
    </i>
    <i t="grand">
      <x/>
    </i>
  </rowItems>
  <colItems count="1">
    <i/>
  </colItems>
  <dataFields count="1">
    <dataField name="Sum of Price of Dish Ordered" fld="6"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E87546-17AA-4D22-A068-75B9A164286B}"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3:L32" firstHeaderRow="0" firstDataRow="1" firstDataCol="1"/>
  <pivotFields count="11">
    <pivotField axis="axisRow" showAll="0">
      <items count="29">
        <item x="16"/>
        <item x="13"/>
        <item x="0"/>
        <item x="24"/>
        <item x="5"/>
        <item x="22"/>
        <item x="9"/>
        <item x="10"/>
        <item x="14"/>
        <item x="11"/>
        <item x="12"/>
        <item x="7"/>
        <item x="3"/>
        <item x="26"/>
        <item x="8"/>
        <item x="20"/>
        <item x="25"/>
        <item x="18"/>
        <item x="17"/>
        <item x="21"/>
        <item x="23"/>
        <item x="4"/>
        <item x="19"/>
        <item x="2"/>
        <item x="15"/>
        <item x="27"/>
        <item x="1"/>
        <item x="6"/>
        <item t="default"/>
      </items>
    </pivotField>
    <pivotField showAll="0"/>
    <pivotField showAll="0">
      <items count="12">
        <item x="8"/>
        <item x="3"/>
        <item x="4"/>
        <item x="2"/>
        <item x="1"/>
        <item x="9"/>
        <item x="6"/>
        <item x="7"/>
        <item x="0"/>
        <item x="5"/>
        <item x="10"/>
        <item t="default"/>
      </items>
    </pivotField>
    <pivotField showAll="0"/>
    <pivotField numFmtId="14" showAll="0">
      <items count="32">
        <item x="18"/>
        <item x="23"/>
        <item x="10"/>
        <item x="15"/>
        <item x="22"/>
        <item x="26"/>
        <item x="16"/>
        <item x="29"/>
        <item x="28"/>
        <item x="30"/>
        <item x="25"/>
        <item x="4"/>
        <item x="8"/>
        <item x="20"/>
        <item x="27"/>
        <item x="9"/>
        <item x="19"/>
        <item x="17"/>
        <item x="0"/>
        <item x="1"/>
        <item x="14"/>
        <item x="2"/>
        <item x="12"/>
        <item x="11"/>
        <item x="24"/>
        <item x="21"/>
        <item x="7"/>
        <item x="6"/>
        <item x="13"/>
        <item x="3"/>
        <item x="5"/>
        <item t="default"/>
      </items>
    </pivotField>
    <pivotField showAll="0"/>
    <pivotField dataField="1" showAll="0">
      <items count="10">
        <item x="0"/>
        <item x="3"/>
        <item x="6"/>
        <item x="8"/>
        <item x="4"/>
        <item x="5"/>
        <item x="1"/>
        <item x="7"/>
        <item x="2"/>
        <item t="default"/>
      </items>
    </pivotField>
    <pivotField dataField="1" showAll="0">
      <items count="6">
        <item x="2"/>
        <item x="4"/>
        <item x="1"/>
        <item x="0"/>
        <item x="3"/>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0"/>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Fields count="1">
    <field x="-2"/>
  </colFields>
  <colItems count="2">
    <i>
      <x/>
    </i>
    <i i="1">
      <x v="1"/>
    </i>
  </colItems>
  <dataFields count="2">
    <dataField name="Sum of Price of Dish Ordered" fld="6" baseField="0" baseItem="0"/>
    <dataField name="Count of Quantity" fld="7"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2BCD414-2566-40E4-813F-BDDE102051B7}"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F3:H15" firstHeaderRow="0" firstDataRow="1" firstDataCol="1"/>
  <pivotFields count="11">
    <pivotField showAll="0">
      <items count="29">
        <item x="16"/>
        <item x="13"/>
        <item x="0"/>
        <item x="24"/>
        <item x="5"/>
        <item x="22"/>
        <item x="9"/>
        <item x="10"/>
        <item x="14"/>
        <item x="11"/>
        <item x="12"/>
        <item x="7"/>
        <item x="3"/>
        <item x="26"/>
        <item x="8"/>
        <item x="20"/>
        <item x="25"/>
        <item x="18"/>
        <item x="17"/>
        <item x="21"/>
        <item x="23"/>
        <item x="4"/>
        <item x="19"/>
        <item x="2"/>
        <item x="15"/>
        <item x="27"/>
        <item x="1"/>
        <item x="6"/>
        <item t="default"/>
      </items>
    </pivotField>
    <pivotField showAll="0"/>
    <pivotField axis="axisRow" showAll="0">
      <items count="12">
        <item x="8"/>
        <item x="3"/>
        <item x="4"/>
        <item x="2"/>
        <item x="1"/>
        <item x="9"/>
        <item x="6"/>
        <item x="7"/>
        <item x="0"/>
        <item x="5"/>
        <item x="10"/>
        <item t="default"/>
      </items>
    </pivotField>
    <pivotField showAll="0"/>
    <pivotField numFmtId="14" showAll="0">
      <items count="32">
        <item x="18"/>
        <item x="23"/>
        <item x="10"/>
        <item x="15"/>
        <item x="22"/>
        <item x="26"/>
        <item x="16"/>
        <item x="29"/>
        <item x="28"/>
        <item x="30"/>
        <item x="25"/>
        <item x="4"/>
        <item x="8"/>
        <item x="20"/>
        <item x="27"/>
        <item x="9"/>
        <item x="19"/>
        <item x="17"/>
        <item x="0"/>
        <item x="1"/>
        <item x="14"/>
        <item x="2"/>
        <item x="12"/>
        <item x="11"/>
        <item x="24"/>
        <item x="21"/>
        <item x="7"/>
        <item x="6"/>
        <item x="13"/>
        <item x="3"/>
        <item x="5"/>
        <item t="default"/>
      </items>
    </pivotField>
    <pivotField showAll="0"/>
    <pivotField dataField="1" showAll="0">
      <items count="10">
        <item x="0"/>
        <item x="3"/>
        <item x="6"/>
        <item x="8"/>
        <item x="4"/>
        <item x="5"/>
        <item x="1"/>
        <item x="7"/>
        <item x="2"/>
        <item t="default"/>
      </items>
    </pivotField>
    <pivotField dataField="1" showAll="0">
      <items count="6">
        <item x="2"/>
        <item x="4"/>
        <item x="1"/>
        <item x="0"/>
        <item x="3"/>
        <item t="default"/>
      </items>
    </pivotField>
    <pivotField showAll="0">
      <items count="19">
        <item x="3"/>
        <item x="14"/>
        <item x="9"/>
        <item x="11"/>
        <item x="1"/>
        <item x="15"/>
        <item x="8"/>
        <item x="5"/>
        <item x="16"/>
        <item x="13"/>
        <item x="10"/>
        <item x="2"/>
        <item x="12"/>
        <item x="7"/>
        <item x="17"/>
        <item x="6"/>
        <item x="4"/>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12">
    <i>
      <x/>
    </i>
    <i>
      <x v="1"/>
    </i>
    <i>
      <x v="2"/>
    </i>
    <i>
      <x v="3"/>
    </i>
    <i>
      <x v="4"/>
    </i>
    <i>
      <x v="5"/>
    </i>
    <i>
      <x v="6"/>
    </i>
    <i>
      <x v="7"/>
    </i>
    <i>
      <x v="8"/>
    </i>
    <i>
      <x v="9"/>
    </i>
    <i>
      <x v="10"/>
    </i>
    <i t="grand">
      <x/>
    </i>
  </rowItems>
  <colFields count="1">
    <field x="-2"/>
  </colFields>
  <colItems count="2">
    <i>
      <x/>
    </i>
    <i i="1">
      <x v="1"/>
    </i>
  </colItems>
  <dataFields count="2">
    <dataField name="Sum of Quantity" fld="7" baseField="0" baseItem="0"/>
    <dataField name="Sum of Price of Dish Ordered" fld="6" baseField="0" baseItem="0"/>
  </dataFields>
  <chartFormats count="5">
    <chartFormat chart="0" format="1"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F4AEC09-8548-43D6-BFC2-7964E0A48692}" name="PivotTable1" cacheId="1"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5">
  <location ref="A3:D18" firstHeaderRow="1" firstDataRow="4" firstDataCol="1"/>
  <pivotFields count="11">
    <pivotField showAll="0">
      <items count="29">
        <item x="16"/>
        <item x="13"/>
        <item x="0"/>
        <item x="24"/>
        <item x="5"/>
        <item x="22"/>
        <item x="9"/>
        <item x="10"/>
        <item x="14"/>
        <item x="11"/>
        <item x="12"/>
        <item x="7"/>
        <item x="3"/>
        <item x="26"/>
        <item x="8"/>
        <item x="20"/>
        <item x="25"/>
        <item x="18"/>
        <item x="17"/>
        <item x="21"/>
        <item x="23"/>
        <item x="4"/>
        <item x="19"/>
        <item x="2"/>
        <item x="15"/>
        <item x="27"/>
        <item x="1"/>
        <item x="6"/>
        <item t="default"/>
      </items>
    </pivotField>
    <pivotField showAll="0"/>
    <pivotField axis="axisRow" showAll="0">
      <items count="12">
        <item x="8"/>
        <item x="3"/>
        <item x="4"/>
        <item x="2"/>
        <item x="1"/>
        <item x="9"/>
        <item x="6"/>
        <item x="7"/>
        <item x="0"/>
        <item x="5"/>
        <item x="10"/>
        <item t="default"/>
      </items>
    </pivotField>
    <pivotField showAll="0"/>
    <pivotField axis="axisCol" numFmtId="14" showAll="0">
      <items count="32">
        <item x="18"/>
        <item x="23"/>
        <item x="10"/>
        <item x="15"/>
        <item x="22"/>
        <item x="26"/>
        <item x="16"/>
        <item x="29"/>
        <item x="28"/>
        <item x="30"/>
        <item x="25"/>
        <item x="4"/>
        <item x="8"/>
        <item x="20"/>
        <item x="27"/>
        <item x="9"/>
        <item x="19"/>
        <item x="17"/>
        <item x="0"/>
        <item x="1"/>
        <item x="14"/>
        <item x="2"/>
        <item x="12"/>
        <item x="11"/>
        <item x="24"/>
        <item x="21"/>
        <item x="7"/>
        <item x="6"/>
        <item x="13"/>
        <item x="3"/>
        <item x="5"/>
        <item t="default"/>
      </items>
    </pivotField>
    <pivotField showAll="0"/>
    <pivotField dataField="1" showAll="0">
      <items count="10">
        <item x="0"/>
        <item x="3"/>
        <item x="6"/>
        <item x="8"/>
        <item x="4"/>
        <item x="5"/>
        <item x="1"/>
        <item x="7"/>
        <item x="2"/>
        <item t="default"/>
      </items>
    </pivotField>
    <pivotField showAll="0">
      <items count="6">
        <item x="2"/>
        <item x="4"/>
        <item x="1"/>
        <item x="0"/>
        <item x="3"/>
        <item t="default"/>
      </items>
    </pivotField>
    <pivotField showAll="0"/>
    <pivotField axis="axisCol"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Col"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12">
    <i>
      <x/>
    </i>
    <i>
      <x v="1"/>
    </i>
    <i>
      <x v="2"/>
    </i>
    <i>
      <x v="3"/>
    </i>
    <i>
      <x v="4"/>
    </i>
    <i>
      <x v="5"/>
    </i>
    <i>
      <x v="6"/>
    </i>
    <i>
      <x v="7"/>
    </i>
    <i>
      <x v="8"/>
    </i>
    <i>
      <x v="9"/>
    </i>
    <i>
      <x v="10"/>
    </i>
    <i t="grand">
      <x/>
    </i>
  </rowItems>
  <colFields count="3">
    <field x="10"/>
    <field x="9"/>
    <field x="4"/>
  </colFields>
  <colItems count="3">
    <i>
      <x v="1"/>
    </i>
    <i>
      <x v="2"/>
    </i>
    <i t="grand">
      <x/>
    </i>
  </colItems>
  <dataFields count="1">
    <dataField name="Sum of Price of Dish Ordered" fld="6" baseField="0" baseItem="0"/>
  </dataFields>
  <chartFormats count="48">
    <chartFormat chart="0" format="0" series="1">
      <pivotArea type="data" outline="0" fieldPosition="0">
        <references count="2">
          <reference field="4294967294" count="1" selected="0">
            <x v="0"/>
          </reference>
          <reference field="10" count="1" selected="0">
            <x v="1"/>
          </reference>
        </references>
      </pivotArea>
    </chartFormat>
    <chartFormat chart="0" format="1" series="1">
      <pivotArea type="data" outline="0" fieldPosition="0">
        <references count="2">
          <reference field="4294967294" count="1" selected="0">
            <x v="0"/>
          </reference>
          <reference field="10" count="1" selected="0">
            <x v="2"/>
          </reference>
        </references>
      </pivotArea>
    </chartFormat>
    <chartFormat chart="0" format="2">
      <pivotArea type="data" outline="0" fieldPosition="0">
        <references count="3">
          <reference field="4294967294" count="1" selected="0">
            <x v="0"/>
          </reference>
          <reference field="2" count="1" selected="0">
            <x v="0"/>
          </reference>
          <reference field="10" count="1" selected="0">
            <x v="1"/>
          </reference>
        </references>
      </pivotArea>
    </chartFormat>
    <chartFormat chart="0" format="3">
      <pivotArea type="data" outline="0" fieldPosition="0">
        <references count="3">
          <reference field="4294967294" count="1" selected="0">
            <x v="0"/>
          </reference>
          <reference field="2" count="1" selected="0">
            <x v="1"/>
          </reference>
          <reference field="10" count="1" selected="0">
            <x v="1"/>
          </reference>
        </references>
      </pivotArea>
    </chartFormat>
    <chartFormat chart="0" format="4">
      <pivotArea type="data" outline="0" fieldPosition="0">
        <references count="3">
          <reference field="4294967294" count="1" selected="0">
            <x v="0"/>
          </reference>
          <reference field="2" count="1" selected="0">
            <x v="2"/>
          </reference>
          <reference field="10" count="1" selected="0">
            <x v="1"/>
          </reference>
        </references>
      </pivotArea>
    </chartFormat>
    <chartFormat chart="0" format="5">
      <pivotArea type="data" outline="0" fieldPosition="0">
        <references count="3">
          <reference field="4294967294" count="1" selected="0">
            <x v="0"/>
          </reference>
          <reference field="2" count="1" selected="0">
            <x v="3"/>
          </reference>
          <reference field="10" count="1" selected="0">
            <x v="1"/>
          </reference>
        </references>
      </pivotArea>
    </chartFormat>
    <chartFormat chart="0" format="6">
      <pivotArea type="data" outline="0" fieldPosition="0">
        <references count="3">
          <reference field="4294967294" count="1" selected="0">
            <x v="0"/>
          </reference>
          <reference field="2" count="1" selected="0">
            <x v="4"/>
          </reference>
          <reference field="10" count="1" selected="0">
            <x v="1"/>
          </reference>
        </references>
      </pivotArea>
    </chartFormat>
    <chartFormat chart="0" format="7">
      <pivotArea type="data" outline="0" fieldPosition="0">
        <references count="3">
          <reference field="4294967294" count="1" selected="0">
            <x v="0"/>
          </reference>
          <reference field="2" count="1" selected="0">
            <x v="5"/>
          </reference>
          <reference field="10" count="1" selected="0">
            <x v="1"/>
          </reference>
        </references>
      </pivotArea>
    </chartFormat>
    <chartFormat chart="0" format="8">
      <pivotArea type="data" outline="0" fieldPosition="0">
        <references count="3">
          <reference field="4294967294" count="1" selected="0">
            <x v="0"/>
          </reference>
          <reference field="2" count="1" selected="0">
            <x v="6"/>
          </reference>
          <reference field="10" count="1" selected="0">
            <x v="1"/>
          </reference>
        </references>
      </pivotArea>
    </chartFormat>
    <chartFormat chart="0" format="9">
      <pivotArea type="data" outline="0" fieldPosition="0">
        <references count="3">
          <reference field="4294967294" count="1" selected="0">
            <x v="0"/>
          </reference>
          <reference field="2" count="1" selected="0">
            <x v="7"/>
          </reference>
          <reference field="10" count="1" selected="0">
            <x v="1"/>
          </reference>
        </references>
      </pivotArea>
    </chartFormat>
    <chartFormat chart="0" format="10">
      <pivotArea type="data" outline="0" fieldPosition="0">
        <references count="3">
          <reference field="4294967294" count="1" selected="0">
            <x v="0"/>
          </reference>
          <reference field="2" count="1" selected="0">
            <x v="8"/>
          </reference>
          <reference field="10" count="1" selected="0">
            <x v="1"/>
          </reference>
        </references>
      </pivotArea>
    </chartFormat>
    <chartFormat chart="0" format="11">
      <pivotArea type="data" outline="0" fieldPosition="0">
        <references count="3">
          <reference field="4294967294" count="1" selected="0">
            <x v="0"/>
          </reference>
          <reference field="2" count="1" selected="0">
            <x v="9"/>
          </reference>
          <reference field="10" count="1" selected="0">
            <x v="1"/>
          </reference>
        </references>
      </pivotArea>
    </chartFormat>
    <chartFormat chart="0" format="12">
      <pivotArea type="data" outline="0" fieldPosition="0">
        <references count="3">
          <reference field="4294967294" count="1" selected="0">
            <x v="0"/>
          </reference>
          <reference field="2" count="1" selected="0">
            <x v="10"/>
          </reference>
          <reference field="10" count="1" selected="0">
            <x v="1"/>
          </reference>
        </references>
      </pivotArea>
    </chartFormat>
    <chartFormat chart="0" format="13">
      <pivotArea type="data" outline="0" fieldPosition="0">
        <references count="3">
          <reference field="4294967294" count="1" selected="0">
            <x v="0"/>
          </reference>
          <reference field="2" count="1" selected="0">
            <x v="0"/>
          </reference>
          <reference field="10" count="1" selected="0">
            <x v="2"/>
          </reference>
        </references>
      </pivotArea>
    </chartFormat>
    <chartFormat chart="0" format="14">
      <pivotArea type="data" outline="0" fieldPosition="0">
        <references count="3">
          <reference field="4294967294" count="1" selected="0">
            <x v="0"/>
          </reference>
          <reference field="2" count="1" selected="0">
            <x v="1"/>
          </reference>
          <reference field="10" count="1" selected="0">
            <x v="2"/>
          </reference>
        </references>
      </pivotArea>
    </chartFormat>
    <chartFormat chart="0" format="15">
      <pivotArea type="data" outline="0" fieldPosition="0">
        <references count="3">
          <reference field="4294967294" count="1" selected="0">
            <x v="0"/>
          </reference>
          <reference field="2" count="1" selected="0">
            <x v="2"/>
          </reference>
          <reference field="10" count="1" selected="0">
            <x v="2"/>
          </reference>
        </references>
      </pivotArea>
    </chartFormat>
    <chartFormat chart="0" format="16">
      <pivotArea type="data" outline="0" fieldPosition="0">
        <references count="3">
          <reference field="4294967294" count="1" selected="0">
            <x v="0"/>
          </reference>
          <reference field="2" count="1" selected="0">
            <x v="3"/>
          </reference>
          <reference field="10" count="1" selected="0">
            <x v="2"/>
          </reference>
        </references>
      </pivotArea>
    </chartFormat>
    <chartFormat chart="0" format="17">
      <pivotArea type="data" outline="0" fieldPosition="0">
        <references count="3">
          <reference field="4294967294" count="1" selected="0">
            <x v="0"/>
          </reference>
          <reference field="2" count="1" selected="0">
            <x v="4"/>
          </reference>
          <reference field="10" count="1" selected="0">
            <x v="2"/>
          </reference>
        </references>
      </pivotArea>
    </chartFormat>
    <chartFormat chart="0" format="18">
      <pivotArea type="data" outline="0" fieldPosition="0">
        <references count="3">
          <reference field="4294967294" count="1" selected="0">
            <x v="0"/>
          </reference>
          <reference field="2" count="1" selected="0">
            <x v="5"/>
          </reference>
          <reference field="10" count="1" selected="0">
            <x v="2"/>
          </reference>
        </references>
      </pivotArea>
    </chartFormat>
    <chartFormat chart="0" format="19">
      <pivotArea type="data" outline="0" fieldPosition="0">
        <references count="3">
          <reference field="4294967294" count="1" selected="0">
            <x v="0"/>
          </reference>
          <reference field="2" count="1" selected="0">
            <x v="6"/>
          </reference>
          <reference field="10" count="1" selected="0">
            <x v="2"/>
          </reference>
        </references>
      </pivotArea>
    </chartFormat>
    <chartFormat chart="0" format="20">
      <pivotArea type="data" outline="0" fieldPosition="0">
        <references count="3">
          <reference field="4294967294" count="1" selected="0">
            <x v="0"/>
          </reference>
          <reference field="2" count="1" selected="0">
            <x v="7"/>
          </reference>
          <reference field="10" count="1" selected="0">
            <x v="2"/>
          </reference>
        </references>
      </pivotArea>
    </chartFormat>
    <chartFormat chart="0" format="21">
      <pivotArea type="data" outline="0" fieldPosition="0">
        <references count="3">
          <reference field="4294967294" count="1" selected="0">
            <x v="0"/>
          </reference>
          <reference field="2" count="1" selected="0">
            <x v="8"/>
          </reference>
          <reference field="10" count="1" selected="0">
            <x v="2"/>
          </reference>
        </references>
      </pivotArea>
    </chartFormat>
    <chartFormat chart="0" format="22">
      <pivotArea type="data" outline="0" fieldPosition="0">
        <references count="3">
          <reference field="4294967294" count="1" selected="0">
            <x v="0"/>
          </reference>
          <reference field="2" count="1" selected="0">
            <x v="9"/>
          </reference>
          <reference field="10" count="1" selected="0">
            <x v="2"/>
          </reference>
        </references>
      </pivotArea>
    </chartFormat>
    <chartFormat chart="0" format="23">
      <pivotArea type="data" outline="0" fieldPosition="0">
        <references count="3">
          <reference field="4294967294" count="1" selected="0">
            <x v="0"/>
          </reference>
          <reference field="2" count="1" selected="0">
            <x v="10"/>
          </reference>
          <reference field="10" count="1" selected="0">
            <x v="2"/>
          </reference>
        </references>
      </pivotArea>
    </chartFormat>
    <chartFormat chart="3" format="48" series="1">
      <pivotArea type="data" outline="0" fieldPosition="0">
        <references count="2">
          <reference field="4294967294" count="1" selected="0">
            <x v="0"/>
          </reference>
          <reference field="10" count="1" selected="0">
            <x v="1"/>
          </reference>
        </references>
      </pivotArea>
    </chartFormat>
    <chartFormat chart="3" format="49">
      <pivotArea type="data" outline="0" fieldPosition="0">
        <references count="3">
          <reference field="4294967294" count="1" selected="0">
            <x v="0"/>
          </reference>
          <reference field="2" count="1" selected="0">
            <x v="0"/>
          </reference>
          <reference field="10" count="1" selected="0">
            <x v="1"/>
          </reference>
        </references>
      </pivotArea>
    </chartFormat>
    <chartFormat chart="3" format="50">
      <pivotArea type="data" outline="0" fieldPosition="0">
        <references count="3">
          <reference field="4294967294" count="1" selected="0">
            <x v="0"/>
          </reference>
          <reference field="2" count="1" selected="0">
            <x v="1"/>
          </reference>
          <reference field="10" count="1" selected="0">
            <x v="1"/>
          </reference>
        </references>
      </pivotArea>
    </chartFormat>
    <chartFormat chart="3" format="51">
      <pivotArea type="data" outline="0" fieldPosition="0">
        <references count="3">
          <reference field="4294967294" count="1" selected="0">
            <x v="0"/>
          </reference>
          <reference field="2" count="1" selected="0">
            <x v="2"/>
          </reference>
          <reference field="10" count="1" selected="0">
            <x v="1"/>
          </reference>
        </references>
      </pivotArea>
    </chartFormat>
    <chartFormat chart="3" format="52">
      <pivotArea type="data" outline="0" fieldPosition="0">
        <references count="3">
          <reference field="4294967294" count="1" selected="0">
            <x v="0"/>
          </reference>
          <reference field="2" count="1" selected="0">
            <x v="3"/>
          </reference>
          <reference field="10" count="1" selected="0">
            <x v="1"/>
          </reference>
        </references>
      </pivotArea>
    </chartFormat>
    <chartFormat chart="3" format="53">
      <pivotArea type="data" outline="0" fieldPosition="0">
        <references count="3">
          <reference field="4294967294" count="1" selected="0">
            <x v="0"/>
          </reference>
          <reference field="2" count="1" selected="0">
            <x v="4"/>
          </reference>
          <reference field="10" count="1" selected="0">
            <x v="1"/>
          </reference>
        </references>
      </pivotArea>
    </chartFormat>
    <chartFormat chart="3" format="54">
      <pivotArea type="data" outline="0" fieldPosition="0">
        <references count="3">
          <reference field="4294967294" count="1" selected="0">
            <x v="0"/>
          </reference>
          <reference field="2" count="1" selected="0">
            <x v="5"/>
          </reference>
          <reference field="10" count="1" selected="0">
            <x v="1"/>
          </reference>
        </references>
      </pivotArea>
    </chartFormat>
    <chartFormat chart="3" format="55">
      <pivotArea type="data" outline="0" fieldPosition="0">
        <references count="3">
          <reference field="4294967294" count="1" selected="0">
            <x v="0"/>
          </reference>
          <reference field="2" count="1" selected="0">
            <x v="6"/>
          </reference>
          <reference field="10" count="1" selected="0">
            <x v="1"/>
          </reference>
        </references>
      </pivotArea>
    </chartFormat>
    <chartFormat chart="3" format="56">
      <pivotArea type="data" outline="0" fieldPosition="0">
        <references count="3">
          <reference field="4294967294" count="1" selected="0">
            <x v="0"/>
          </reference>
          <reference field="2" count="1" selected="0">
            <x v="7"/>
          </reference>
          <reference field="10" count="1" selected="0">
            <x v="1"/>
          </reference>
        </references>
      </pivotArea>
    </chartFormat>
    <chartFormat chart="3" format="57">
      <pivotArea type="data" outline="0" fieldPosition="0">
        <references count="3">
          <reference field="4294967294" count="1" selected="0">
            <x v="0"/>
          </reference>
          <reference field="2" count="1" selected="0">
            <x v="8"/>
          </reference>
          <reference field="10" count="1" selected="0">
            <x v="1"/>
          </reference>
        </references>
      </pivotArea>
    </chartFormat>
    <chartFormat chart="3" format="58">
      <pivotArea type="data" outline="0" fieldPosition="0">
        <references count="3">
          <reference field="4294967294" count="1" selected="0">
            <x v="0"/>
          </reference>
          <reference field="2" count="1" selected="0">
            <x v="9"/>
          </reference>
          <reference field="10" count="1" selected="0">
            <x v="1"/>
          </reference>
        </references>
      </pivotArea>
    </chartFormat>
    <chartFormat chart="3" format="59">
      <pivotArea type="data" outline="0" fieldPosition="0">
        <references count="3">
          <reference field="4294967294" count="1" selected="0">
            <x v="0"/>
          </reference>
          <reference field="2" count="1" selected="0">
            <x v="10"/>
          </reference>
          <reference field="10" count="1" selected="0">
            <x v="1"/>
          </reference>
        </references>
      </pivotArea>
    </chartFormat>
    <chartFormat chart="3" format="60" series="1">
      <pivotArea type="data" outline="0" fieldPosition="0">
        <references count="2">
          <reference field="4294967294" count="1" selected="0">
            <x v="0"/>
          </reference>
          <reference field="10" count="1" selected="0">
            <x v="2"/>
          </reference>
        </references>
      </pivotArea>
    </chartFormat>
    <chartFormat chart="3" format="61">
      <pivotArea type="data" outline="0" fieldPosition="0">
        <references count="3">
          <reference field="4294967294" count="1" selected="0">
            <x v="0"/>
          </reference>
          <reference field="2" count="1" selected="0">
            <x v="0"/>
          </reference>
          <reference field="10" count="1" selected="0">
            <x v="2"/>
          </reference>
        </references>
      </pivotArea>
    </chartFormat>
    <chartFormat chart="3" format="62">
      <pivotArea type="data" outline="0" fieldPosition="0">
        <references count="3">
          <reference field="4294967294" count="1" selected="0">
            <x v="0"/>
          </reference>
          <reference field="2" count="1" selected="0">
            <x v="1"/>
          </reference>
          <reference field="10" count="1" selected="0">
            <x v="2"/>
          </reference>
        </references>
      </pivotArea>
    </chartFormat>
    <chartFormat chart="3" format="63">
      <pivotArea type="data" outline="0" fieldPosition="0">
        <references count="3">
          <reference field="4294967294" count="1" selected="0">
            <x v="0"/>
          </reference>
          <reference field="2" count="1" selected="0">
            <x v="2"/>
          </reference>
          <reference field="10" count="1" selected="0">
            <x v="2"/>
          </reference>
        </references>
      </pivotArea>
    </chartFormat>
    <chartFormat chart="3" format="64">
      <pivotArea type="data" outline="0" fieldPosition="0">
        <references count="3">
          <reference field="4294967294" count="1" selected="0">
            <x v="0"/>
          </reference>
          <reference field="2" count="1" selected="0">
            <x v="3"/>
          </reference>
          <reference field="10" count="1" selected="0">
            <x v="2"/>
          </reference>
        </references>
      </pivotArea>
    </chartFormat>
    <chartFormat chart="3" format="65">
      <pivotArea type="data" outline="0" fieldPosition="0">
        <references count="3">
          <reference field="4294967294" count="1" selected="0">
            <x v="0"/>
          </reference>
          <reference field="2" count="1" selected="0">
            <x v="4"/>
          </reference>
          <reference field="10" count="1" selected="0">
            <x v="2"/>
          </reference>
        </references>
      </pivotArea>
    </chartFormat>
    <chartFormat chart="3" format="66">
      <pivotArea type="data" outline="0" fieldPosition="0">
        <references count="3">
          <reference field="4294967294" count="1" selected="0">
            <x v="0"/>
          </reference>
          <reference field="2" count="1" selected="0">
            <x v="5"/>
          </reference>
          <reference field="10" count="1" selected="0">
            <x v="2"/>
          </reference>
        </references>
      </pivotArea>
    </chartFormat>
    <chartFormat chart="3" format="67">
      <pivotArea type="data" outline="0" fieldPosition="0">
        <references count="3">
          <reference field="4294967294" count="1" selected="0">
            <x v="0"/>
          </reference>
          <reference field="2" count="1" selected="0">
            <x v="6"/>
          </reference>
          <reference field="10" count="1" selected="0">
            <x v="2"/>
          </reference>
        </references>
      </pivotArea>
    </chartFormat>
    <chartFormat chart="3" format="68">
      <pivotArea type="data" outline="0" fieldPosition="0">
        <references count="3">
          <reference field="4294967294" count="1" selected="0">
            <x v="0"/>
          </reference>
          <reference field="2" count="1" selected="0">
            <x v="7"/>
          </reference>
          <reference field="10" count="1" selected="0">
            <x v="2"/>
          </reference>
        </references>
      </pivotArea>
    </chartFormat>
    <chartFormat chart="3" format="69">
      <pivotArea type="data" outline="0" fieldPosition="0">
        <references count="3">
          <reference field="4294967294" count="1" selected="0">
            <x v="0"/>
          </reference>
          <reference field="2" count="1" selected="0">
            <x v="8"/>
          </reference>
          <reference field="10" count="1" selected="0">
            <x v="2"/>
          </reference>
        </references>
      </pivotArea>
    </chartFormat>
    <chartFormat chart="3" format="70">
      <pivotArea type="data" outline="0" fieldPosition="0">
        <references count="3">
          <reference field="4294967294" count="1" selected="0">
            <x v="0"/>
          </reference>
          <reference field="2" count="1" selected="0">
            <x v="9"/>
          </reference>
          <reference field="10" count="1" selected="0">
            <x v="2"/>
          </reference>
        </references>
      </pivotArea>
    </chartFormat>
    <chartFormat chart="3" format="71">
      <pivotArea type="data" outline="0" fieldPosition="0">
        <references count="3">
          <reference field="4294967294" count="1" selected="0">
            <x v="0"/>
          </reference>
          <reference field="2" count="1" selected="0">
            <x v="1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83AB04D-93E2-43B7-8C6E-0B34DFC8ED7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15" firstHeaderRow="1" firstDataRow="1" firstDataCol="1"/>
  <pivotFields count="8">
    <pivotField showAll="0">
      <items count="29">
        <item x="16"/>
        <item x="13"/>
        <item x="0"/>
        <item x="24"/>
        <item x="5"/>
        <item x="22"/>
        <item x="9"/>
        <item x="10"/>
        <item x="14"/>
        <item x="11"/>
        <item x="12"/>
        <item x="7"/>
        <item x="3"/>
        <item x="26"/>
        <item x="8"/>
        <item x="20"/>
        <item x="25"/>
        <item x="18"/>
        <item x="17"/>
        <item x="21"/>
        <item x="23"/>
        <item x="4"/>
        <item x="19"/>
        <item x="2"/>
        <item x="15"/>
        <item x="27"/>
        <item x="1"/>
        <item x="6"/>
        <item t="default"/>
      </items>
    </pivotField>
    <pivotField showAll="0"/>
    <pivotField axis="axisRow" showAll="0">
      <items count="12">
        <item x="8"/>
        <item x="3"/>
        <item x="4"/>
        <item x="2"/>
        <item x="1"/>
        <item x="9"/>
        <item x="6"/>
        <item x="7"/>
        <item x="0"/>
        <item x="5"/>
        <item x="10"/>
        <item t="default"/>
      </items>
    </pivotField>
    <pivotField showAll="0"/>
    <pivotField numFmtId="14" showAll="0"/>
    <pivotField showAll="0"/>
    <pivotField dataField="1" showAll="0">
      <items count="10">
        <item x="0"/>
        <item x="3"/>
        <item x="6"/>
        <item x="8"/>
        <item x="4"/>
        <item x="5"/>
        <item x="1"/>
        <item x="7"/>
        <item x="2"/>
        <item t="default"/>
      </items>
    </pivotField>
    <pivotField showAll="0"/>
  </pivotFields>
  <rowFields count="1">
    <field x="2"/>
  </rowFields>
  <rowItems count="12">
    <i>
      <x/>
    </i>
    <i>
      <x v="1"/>
    </i>
    <i>
      <x v="2"/>
    </i>
    <i>
      <x v="3"/>
    </i>
    <i>
      <x v="4"/>
    </i>
    <i>
      <x v="5"/>
    </i>
    <i>
      <x v="6"/>
    </i>
    <i>
      <x v="7"/>
    </i>
    <i>
      <x v="8"/>
    </i>
    <i>
      <x v="9"/>
    </i>
    <i>
      <x v="10"/>
    </i>
    <i t="grand">
      <x/>
    </i>
  </rowItems>
  <colItems count="1">
    <i/>
  </colItems>
  <dataFields count="1">
    <dataField name="Sum of Price of Dish Ordered"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ADF735F-406F-4058-B638-6F65DE76846F}"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9:N31" firstHeaderRow="0" firstDataRow="1" firstDataCol="1"/>
  <pivotFields count="8">
    <pivotField showAll="0">
      <items count="29">
        <item x="16"/>
        <item x="13"/>
        <item x="0"/>
        <item x="24"/>
        <item x="5"/>
        <item x="22"/>
        <item x="9"/>
        <item x="10"/>
        <item x="14"/>
        <item x="11"/>
        <item x="12"/>
        <item x="7"/>
        <item x="3"/>
        <item x="26"/>
        <item x="8"/>
        <item x="20"/>
        <item x="25"/>
        <item x="18"/>
        <item x="17"/>
        <item x="21"/>
        <item x="23"/>
        <item x="4"/>
        <item x="19"/>
        <item x="2"/>
        <item x="15"/>
        <item x="27"/>
        <item x="1"/>
        <item x="6"/>
        <item t="default"/>
      </items>
    </pivotField>
    <pivotField showAll="0"/>
    <pivotField axis="axisRow" showAll="0">
      <items count="12">
        <item x="8"/>
        <item x="3"/>
        <item x="4"/>
        <item x="2"/>
        <item x="1"/>
        <item x="9"/>
        <item x="6"/>
        <item x="7"/>
        <item x="0"/>
        <item x="5"/>
        <item x="10"/>
        <item t="default"/>
      </items>
    </pivotField>
    <pivotField showAll="0"/>
    <pivotField numFmtId="14" showAll="0"/>
    <pivotField showAll="0"/>
    <pivotField dataField="1" showAll="0">
      <items count="10">
        <item x="0"/>
        <item x="3"/>
        <item x="6"/>
        <item x="8"/>
        <item x="4"/>
        <item x="5"/>
        <item x="1"/>
        <item x="7"/>
        <item x="2"/>
        <item t="default"/>
      </items>
    </pivotField>
    <pivotField dataField="1" showAll="0"/>
  </pivotFields>
  <rowFields count="1">
    <field x="2"/>
  </rowFields>
  <rowItems count="12">
    <i>
      <x/>
    </i>
    <i>
      <x v="1"/>
    </i>
    <i>
      <x v="2"/>
    </i>
    <i>
      <x v="3"/>
    </i>
    <i>
      <x v="4"/>
    </i>
    <i>
      <x v="5"/>
    </i>
    <i>
      <x v="6"/>
    </i>
    <i>
      <x v="7"/>
    </i>
    <i>
      <x v="8"/>
    </i>
    <i>
      <x v="9"/>
    </i>
    <i>
      <x v="10"/>
    </i>
    <i t="grand">
      <x/>
    </i>
  </rowItems>
  <colFields count="1">
    <field x="-2"/>
  </colFields>
  <colItems count="2">
    <i>
      <x/>
    </i>
    <i i="1">
      <x v="1"/>
    </i>
  </colItems>
  <dataFields count="2">
    <dataField name="Sum of Price of Dish Ordered" fld="6" baseField="0" baseItem="0"/>
    <dataField name="Count of Quantity"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58C22C1-FE25-4834-826A-1DE67C15035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3:O15" firstHeaderRow="1" firstDataRow="1" firstDataCol="1"/>
  <pivotFields count="8">
    <pivotField showAll="0">
      <items count="29">
        <item x="16"/>
        <item x="13"/>
        <item x="0"/>
        <item x="24"/>
        <item x="5"/>
        <item x="22"/>
        <item x="9"/>
        <item x="10"/>
        <item x="14"/>
        <item x="11"/>
        <item x="12"/>
        <item x="7"/>
        <item x="3"/>
        <item x="26"/>
        <item x="8"/>
        <item x="20"/>
        <item x="25"/>
        <item x="18"/>
        <item x="17"/>
        <item x="21"/>
        <item x="23"/>
        <item x="4"/>
        <item x="19"/>
        <item x="2"/>
        <item x="15"/>
        <item x="27"/>
        <item x="1"/>
        <item x="6"/>
        <item t="default"/>
      </items>
    </pivotField>
    <pivotField showAll="0"/>
    <pivotField axis="axisRow" showAll="0">
      <items count="12">
        <item x="8"/>
        <item x="3"/>
        <item x="4"/>
        <item x="2"/>
        <item x="1"/>
        <item x="9"/>
        <item x="6"/>
        <item x="7"/>
        <item x="0"/>
        <item x="5"/>
        <item x="10"/>
        <item t="default"/>
      </items>
    </pivotField>
    <pivotField showAll="0"/>
    <pivotField numFmtId="14" showAll="0"/>
    <pivotField showAll="0"/>
    <pivotField dataField="1" showAll="0">
      <items count="10">
        <item x="0"/>
        <item x="3"/>
        <item x="6"/>
        <item x="8"/>
        <item x="4"/>
        <item x="5"/>
        <item x="1"/>
        <item x="7"/>
        <item x="2"/>
        <item t="default"/>
      </items>
    </pivotField>
    <pivotField showAll="0"/>
  </pivotFields>
  <rowFields count="1">
    <field x="2"/>
  </rowFields>
  <rowItems count="12">
    <i>
      <x/>
    </i>
    <i>
      <x v="1"/>
    </i>
    <i>
      <x v="2"/>
    </i>
    <i>
      <x v="3"/>
    </i>
    <i>
      <x v="4"/>
    </i>
    <i>
      <x v="5"/>
    </i>
    <i>
      <x v="6"/>
    </i>
    <i>
      <x v="7"/>
    </i>
    <i>
      <x v="8"/>
    </i>
    <i>
      <x v="9"/>
    </i>
    <i>
      <x v="10"/>
    </i>
    <i t="grand">
      <x/>
    </i>
  </rowItems>
  <colItems count="1">
    <i/>
  </colItems>
  <dataFields count="1">
    <dataField name="Min of Price of Dish Ordered" fld="6" subtotal="min"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F4D3146-6F00-4DDF-BA2B-F219F214871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15" firstHeaderRow="1" firstDataRow="1" firstDataCol="1"/>
  <pivotFields count="8">
    <pivotField showAll="0">
      <items count="29">
        <item x="16"/>
        <item x="13"/>
        <item x="0"/>
        <item x="24"/>
        <item x="5"/>
        <item x="22"/>
        <item x="9"/>
        <item x="10"/>
        <item x="14"/>
        <item x="11"/>
        <item x="12"/>
        <item x="7"/>
        <item x="3"/>
        <item x="26"/>
        <item x="8"/>
        <item x="20"/>
        <item x="25"/>
        <item x="18"/>
        <item x="17"/>
        <item x="21"/>
        <item x="23"/>
        <item x="4"/>
        <item x="19"/>
        <item x="2"/>
        <item x="15"/>
        <item x="27"/>
        <item x="1"/>
        <item x="6"/>
        <item t="default"/>
      </items>
    </pivotField>
    <pivotField showAll="0"/>
    <pivotField axis="axisRow" showAll="0">
      <items count="12">
        <item x="8"/>
        <item x="3"/>
        <item x="4"/>
        <item x="2"/>
        <item x="1"/>
        <item x="9"/>
        <item x="6"/>
        <item x="7"/>
        <item x="0"/>
        <item x="5"/>
        <item x="10"/>
        <item t="default"/>
      </items>
    </pivotField>
    <pivotField showAll="0"/>
    <pivotField numFmtId="14" showAll="0"/>
    <pivotField showAll="0"/>
    <pivotField dataField="1" showAll="0"/>
    <pivotField showAll="0"/>
  </pivotFields>
  <rowFields count="1">
    <field x="2"/>
  </rowFields>
  <rowItems count="12">
    <i>
      <x/>
    </i>
    <i>
      <x v="1"/>
    </i>
    <i>
      <x v="2"/>
    </i>
    <i>
      <x v="3"/>
    </i>
    <i>
      <x v="4"/>
    </i>
    <i>
      <x v="5"/>
    </i>
    <i>
      <x v="6"/>
    </i>
    <i>
      <x v="7"/>
    </i>
    <i>
      <x v="8"/>
    </i>
    <i>
      <x v="9"/>
    </i>
    <i>
      <x v="10"/>
    </i>
    <i t="grand">
      <x/>
    </i>
  </rowItems>
  <colItems count="1">
    <i/>
  </colItems>
  <dataFields count="1">
    <dataField name="Average of Price of Dish Ordered" fld="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4DD00D9-408D-4A80-9838-DE3E704A1A9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L15" firstHeaderRow="1" firstDataRow="1" firstDataCol="1"/>
  <pivotFields count="8">
    <pivotField showAll="0">
      <items count="29">
        <item x="16"/>
        <item x="13"/>
        <item x="0"/>
        <item x="24"/>
        <item x="5"/>
        <item x="22"/>
        <item x="9"/>
        <item x="10"/>
        <item x="14"/>
        <item x="11"/>
        <item x="12"/>
        <item x="7"/>
        <item x="3"/>
        <item x="26"/>
        <item x="8"/>
        <item x="20"/>
        <item x="25"/>
        <item x="18"/>
        <item x="17"/>
        <item x="21"/>
        <item x="23"/>
        <item x="4"/>
        <item x="19"/>
        <item x="2"/>
        <item x="15"/>
        <item x="27"/>
        <item x="1"/>
        <item x="6"/>
        <item t="default"/>
      </items>
    </pivotField>
    <pivotField showAll="0"/>
    <pivotField axis="axisRow" showAll="0">
      <items count="12">
        <item x="8"/>
        <item x="3"/>
        <item x="4"/>
        <item x="2"/>
        <item x="1"/>
        <item x="9"/>
        <item x="6"/>
        <item x="7"/>
        <item x="0"/>
        <item x="5"/>
        <item x="10"/>
        <item t="default"/>
      </items>
    </pivotField>
    <pivotField showAll="0"/>
    <pivotField numFmtId="14" showAll="0"/>
    <pivotField showAll="0"/>
    <pivotField dataField="1" showAll="0">
      <items count="10">
        <item x="0"/>
        <item x="3"/>
        <item x="6"/>
        <item x="8"/>
        <item x="4"/>
        <item x="5"/>
        <item x="1"/>
        <item x="7"/>
        <item x="2"/>
        <item t="default"/>
      </items>
    </pivotField>
    <pivotField showAll="0"/>
  </pivotFields>
  <rowFields count="1">
    <field x="2"/>
  </rowFields>
  <rowItems count="12">
    <i>
      <x/>
    </i>
    <i>
      <x v="1"/>
    </i>
    <i>
      <x v="2"/>
    </i>
    <i>
      <x v="3"/>
    </i>
    <i>
      <x v="4"/>
    </i>
    <i>
      <x v="5"/>
    </i>
    <i>
      <x v="6"/>
    </i>
    <i>
      <x v="7"/>
    </i>
    <i>
      <x v="8"/>
    </i>
    <i>
      <x v="9"/>
    </i>
    <i>
      <x v="10"/>
    </i>
    <i t="grand">
      <x/>
    </i>
  </rowItems>
  <colItems count="1">
    <i/>
  </colItems>
  <dataFields count="1">
    <dataField name="Max of Price of Dish Ordered" fld="6"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CF18709-6311-472A-A85B-87ECEC4D53EE}"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9:E31" firstHeaderRow="1" firstDataRow="1" firstDataCol="1"/>
  <pivotFields count="8">
    <pivotField showAll="0">
      <items count="29">
        <item x="16"/>
        <item x="13"/>
        <item x="0"/>
        <item x="24"/>
        <item x="5"/>
        <item x="22"/>
        <item x="9"/>
        <item x="10"/>
        <item x="14"/>
        <item x="11"/>
        <item x="12"/>
        <item x="7"/>
        <item x="3"/>
        <item x="26"/>
        <item x="8"/>
        <item x="20"/>
        <item x="25"/>
        <item x="18"/>
        <item x="17"/>
        <item x="21"/>
        <item x="23"/>
        <item x="4"/>
        <item x="19"/>
        <item x="2"/>
        <item x="15"/>
        <item x="27"/>
        <item x="1"/>
        <item x="6"/>
        <item t="default"/>
      </items>
    </pivotField>
    <pivotField showAll="0"/>
    <pivotField axis="axisRow" showAll="0">
      <items count="12">
        <item x="8"/>
        <item x="3"/>
        <item x="4"/>
        <item x="2"/>
        <item x="1"/>
        <item x="9"/>
        <item x="6"/>
        <item x="7"/>
        <item x="0"/>
        <item x="5"/>
        <item x="10"/>
        <item t="default"/>
      </items>
    </pivotField>
    <pivotField showAll="0"/>
    <pivotField numFmtId="14" showAll="0"/>
    <pivotField showAll="0"/>
    <pivotField showAll="0">
      <items count="10">
        <item x="0"/>
        <item x="3"/>
        <item x="6"/>
        <item x="8"/>
        <item x="4"/>
        <item x="5"/>
        <item x="1"/>
        <item x="7"/>
        <item x="2"/>
        <item t="default"/>
      </items>
    </pivotField>
    <pivotField dataField="1" showAll="0"/>
  </pivotFields>
  <rowFields count="1">
    <field x="2"/>
  </rowFields>
  <rowItems count="12">
    <i>
      <x/>
    </i>
    <i>
      <x v="1"/>
    </i>
    <i>
      <x v="2"/>
    </i>
    <i>
      <x v="3"/>
    </i>
    <i>
      <x v="4"/>
    </i>
    <i>
      <x v="5"/>
    </i>
    <i>
      <x v="6"/>
    </i>
    <i>
      <x v="7"/>
    </i>
    <i>
      <x v="8"/>
    </i>
    <i>
      <x v="9"/>
    </i>
    <i>
      <x v="10"/>
    </i>
    <i t="grand">
      <x/>
    </i>
  </rowItems>
  <colItems count="1">
    <i/>
  </colItem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15F826B-6682-4C76-916D-325BF693114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2" firstHeaderRow="1" firstDataRow="1" firstDataCol="1"/>
  <pivotFields count="8">
    <pivotField axis="axisRow" dataField="1" showAll="0">
      <items count="29">
        <item x="16"/>
        <item x="13"/>
        <item x="0"/>
        <item x="24"/>
        <item x="5"/>
        <item x="22"/>
        <item x="9"/>
        <item x="10"/>
        <item x="14"/>
        <item x="11"/>
        <item x="12"/>
        <item x="7"/>
        <item x="3"/>
        <item x="26"/>
        <item x="8"/>
        <item x="20"/>
        <item x="25"/>
        <item x="18"/>
        <item x="17"/>
        <item x="21"/>
        <item x="23"/>
        <item x="4"/>
        <item x="19"/>
        <item x="2"/>
        <item x="15"/>
        <item x="27"/>
        <item x="1"/>
        <item x="6"/>
        <item t="default"/>
      </items>
    </pivotField>
    <pivotField showAll="0"/>
    <pivotField showAll="0"/>
    <pivotField showAll="0"/>
    <pivotField numFmtId="14" showAll="0"/>
    <pivotField showAll="0"/>
    <pivotField showAll="0"/>
    <pivotField showAll="0"/>
  </pivotFields>
  <rowFields count="1">
    <field x="0"/>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Count of Custom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10216A5-FE34-49E7-AF03-AED7F747EA70}"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9:I31" firstHeaderRow="0" firstDataRow="1" firstDataCol="1"/>
  <pivotFields count="8">
    <pivotField showAll="0">
      <items count="29">
        <item x="16"/>
        <item x="13"/>
        <item x="0"/>
        <item x="24"/>
        <item x="5"/>
        <item x="22"/>
        <item x="9"/>
        <item x="10"/>
        <item x="14"/>
        <item x="11"/>
        <item x="12"/>
        <item x="7"/>
        <item x="3"/>
        <item x="26"/>
        <item x="8"/>
        <item x="20"/>
        <item x="25"/>
        <item x="18"/>
        <item x="17"/>
        <item x="21"/>
        <item x="23"/>
        <item x="4"/>
        <item x="19"/>
        <item x="2"/>
        <item x="15"/>
        <item x="27"/>
        <item x="1"/>
        <item x="6"/>
        <item t="default"/>
      </items>
    </pivotField>
    <pivotField showAll="0"/>
    <pivotField axis="axisRow" showAll="0">
      <items count="12">
        <item x="8"/>
        <item x="3"/>
        <item x="4"/>
        <item x="2"/>
        <item x="1"/>
        <item x="9"/>
        <item x="6"/>
        <item x="7"/>
        <item x="0"/>
        <item x="5"/>
        <item x="10"/>
        <item t="default"/>
      </items>
    </pivotField>
    <pivotField showAll="0"/>
    <pivotField numFmtId="14" showAll="0"/>
    <pivotField showAll="0"/>
    <pivotField dataField="1" showAll="0">
      <items count="10">
        <item x="0"/>
        <item x="3"/>
        <item x="6"/>
        <item x="8"/>
        <item x="4"/>
        <item x="5"/>
        <item x="1"/>
        <item x="7"/>
        <item x="2"/>
        <item t="default"/>
      </items>
    </pivotField>
    <pivotField dataField="1" showAll="0"/>
  </pivotFields>
  <rowFields count="1">
    <field x="2"/>
  </rowFields>
  <rowItems count="12">
    <i>
      <x/>
    </i>
    <i>
      <x v="1"/>
    </i>
    <i>
      <x v="2"/>
    </i>
    <i>
      <x v="3"/>
    </i>
    <i>
      <x v="4"/>
    </i>
    <i>
      <x v="5"/>
    </i>
    <i>
      <x v="6"/>
    </i>
    <i>
      <x v="7"/>
    </i>
    <i>
      <x v="8"/>
    </i>
    <i>
      <x v="9"/>
    </i>
    <i>
      <x v="10"/>
    </i>
    <i t="grand">
      <x/>
    </i>
  </rowItems>
  <colFields count="1">
    <field x="-2"/>
  </colFields>
  <colItems count="2">
    <i>
      <x/>
    </i>
    <i i="1">
      <x v="1"/>
    </i>
  </colItems>
  <dataFields count="2">
    <dataField name="Max of Price of Dish Ordered" fld="6" subtotal="max" baseField="0" baseItem="0"/>
    <dataField name="Count of Quantity"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 xr10:uid="{E899D87F-A3DB-46D6-95BB-163F1A5475AC}" sourceName="Customer">
  <pivotTables>
    <pivotTable tabId="5" name="PivotTable1"/>
    <pivotTable tabId="5" name="PivotTable2"/>
    <pivotTable tabId="5" name="PivotTable3"/>
    <pivotTable tabId="5" name="PivotTable4"/>
    <pivotTable tabId="5" name="PivotTable7"/>
  </pivotTables>
  <data>
    <tabular pivotCacheId="368837101">
      <items count="28">
        <i x="16" s="1"/>
        <i x="13" s="1"/>
        <i x="0" s="1"/>
        <i x="24" s="1"/>
        <i x="5" s="1"/>
        <i x="22" s="1"/>
        <i x="9" s="1"/>
        <i x="10" s="1"/>
        <i x="14" s="1"/>
        <i x="11" s="1"/>
        <i x="12" s="1"/>
        <i x="7" s="1"/>
        <i x="3" s="1"/>
        <i x="26" s="1"/>
        <i x="8" s="1"/>
        <i x="20" s="1"/>
        <i x="25" s="1"/>
        <i x="18" s="1"/>
        <i x="17" s="1"/>
        <i x="21" s="1"/>
        <i x="23" s="1"/>
        <i x="4" s="1"/>
        <i x="19" s="1"/>
        <i x="2" s="1"/>
        <i x="15" s="1"/>
        <i x="27" s="1"/>
        <i x="1"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h_Ordered" xr10:uid="{3F494685-994C-4A6F-82D6-8642AA5F3AB0}" sourceName="Dish Ordered">
  <pivotTables>
    <pivotTable tabId="5" name="PivotTable1"/>
    <pivotTable tabId="5" name="PivotTable2"/>
    <pivotTable tabId="5" name="PivotTable3"/>
    <pivotTable tabId="5" name="PivotTable4"/>
    <pivotTable tabId="5" name="PivotTable7"/>
  </pivotTables>
  <data>
    <tabular pivotCacheId="368837101">
      <items count="11">
        <i x="8" s="1"/>
        <i x="3" s="1"/>
        <i x="4" s="1"/>
        <i x="2" s="1"/>
        <i x="1" s="1"/>
        <i x="9" s="1"/>
        <i x="6" s="1"/>
        <i x="7" s="1"/>
        <i x="0" s="1"/>
        <i x="5" s="1"/>
        <i x="1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of_Dish_Ordered" xr10:uid="{04C3CA4F-ED7C-469A-A966-0DC6E4F6D7E7}" sourceName="Price of Dish Ordered">
  <pivotTables>
    <pivotTable tabId="5" name="PivotTable1"/>
    <pivotTable tabId="5" name="PivotTable2"/>
    <pivotTable tabId="5" name="PivotTable3"/>
    <pivotTable tabId="5" name="PivotTable4"/>
    <pivotTable tabId="5" name="PivotTable7"/>
  </pivotTables>
  <data>
    <tabular pivotCacheId="368837101">
      <items count="9">
        <i x="0" s="1"/>
        <i x="3" s="1"/>
        <i x="6" s="1"/>
        <i x="8" s="1"/>
        <i x="4" s="1"/>
        <i x="5" s="1"/>
        <i x="1" s="1"/>
        <i x="7"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6E33CAA4-FCB6-4742-ABE5-9117E2F77547}" sourceName="Quantity">
  <pivotTables>
    <pivotTable tabId="5" name="PivotTable1"/>
    <pivotTable tabId="5" name="PivotTable2"/>
    <pivotTable tabId="5" name="PivotTable3"/>
    <pivotTable tabId="5" name="PivotTable4"/>
    <pivotTable tabId="5" name="PivotTable7"/>
  </pivotTables>
  <data>
    <tabular pivotCacheId="368837101">
      <items count="5">
        <i x="2" s="1"/>
        <i x="4"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xr10:uid="{B9E6BD44-DBD5-43A9-92F9-75ACA16E6466}" cache="Slicer_Customer" caption="Customer" style="SlicerStyleOther2" rowHeight="241300"/>
  <slicer name="Dish Ordered" xr10:uid="{B74B8149-B092-421D-A39E-099EC20C3CE0}" cache="Slicer_Dish_Ordered" caption="Dish Ordered" style="SlicerStyleOther2" rowHeight="241300"/>
  <slicer name="Price of Dish Ordered" xr10:uid="{EFD7AF7B-8C3B-4851-A1BB-3684AB144D0F}" cache="Slicer_Price_of_Dish_Ordered" caption="Price of Dish Ordered" style="SlicerStyleOther2" rowHeight="241300"/>
  <slicer name="Quantity" xr10:uid="{A5705227-8ADB-48A0-9909-5534B3AB66F2}" cache="Slicer_Quantity" caption="Quantity" style="SlicerStyleOther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780EEED-7C4A-45DC-A5E7-F8EC43B907BF}" name="Table3" displayName="Table3" ref="A1:I46" totalsRowShown="0">
  <autoFilter ref="A1:I46" xr:uid="{A780EEED-7C4A-45DC-A5E7-F8EC43B907BF}"/>
  <tableColumns count="9">
    <tableColumn id="1" xr3:uid="{F25642EE-90DE-4593-B977-097713211717}" name="Customer"/>
    <tableColumn id="2" xr3:uid="{D1510E0D-6578-4F1D-BBC9-C70E2882B982}" name="Restaurant"/>
    <tableColumn id="3" xr3:uid="{7634BA23-BCFF-4B11-89FC-48BAF8B11FC3}" name="Dish Ordered"/>
    <tableColumn id="4" xr3:uid="{64C31E76-510F-4DDA-A262-75E0BB8869FC}" name="Rating"/>
    <tableColumn id="5" xr3:uid="{D74F5698-6FD9-4534-A361-9CEE163B3E3B}" name="Date of Visit" dataDxfId="2"/>
    <tableColumn id="6" xr3:uid="{2DB9C1D5-0798-4340-A9C8-8AB9D27F1AE0}" name="Feedback"/>
    <tableColumn id="7" xr3:uid="{30004355-2512-49C3-8B24-5FCDB360237F}" name="Price of Dish Ordered"/>
    <tableColumn id="8" xr3:uid="{62F3C69E-9B78-47E5-9676-90BEE46D7520}" name="Quantity"/>
    <tableColumn id="9" xr3:uid="{0C327C84-63E4-4FEF-B117-71839B03BBA2}" name="Column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647EAB-15B0-4006-A5E1-C001B09403EB}" name="Table1" displayName="Table1" ref="A1:H46" totalsRowShown="0" headerRowDxfId="1">
  <autoFilter ref="A1:H46" xr:uid="{72647EAB-15B0-4006-A5E1-C001B09403EB}"/>
  <tableColumns count="8">
    <tableColumn id="1" xr3:uid="{69B8205E-D300-4AE3-9A0E-AD0BC4BD556A}" name="Customer"/>
    <tableColumn id="2" xr3:uid="{EF274E3D-84CD-4585-95B3-00FF02CD9EA2}" name="Restaurant"/>
    <tableColumn id="3" xr3:uid="{7068E07A-2103-4D2F-B595-E38BEC0738AA}" name="Dish Ordered"/>
    <tableColumn id="4" xr3:uid="{0C0EEF01-3799-479C-A6B4-CDEB24C7C1D3}" name="Rating"/>
    <tableColumn id="5" xr3:uid="{25F4F437-10E3-46AB-8339-7CAC9120F1ED}" name="Date of Visit" dataDxfId="0"/>
    <tableColumn id="6" xr3:uid="{EDD23D6A-BFFF-43FC-B3A7-C29ACB9C23EA}" name="Feedback"/>
    <tableColumn id="7" xr3:uid="{7DF1E325-E4CC-4A61-BFA6-1F3CBCC52DE9}" name="Price of Dish Ordered"/>
    <tableColumn id="8" xr3:uid="{9DA427DB-D958-4C09-9994-FD175081F973}" name="Quantit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3.xml"/><Relationship Id="rId3" Type="http://schemas.openxmlformats.org/officeDocument/2006/relationships/pivotTable" Target="../pivotTables/pivotTable8.xml"/><Relationship Id="rId7" Type="http://schemas.openxmlformats.org/officeDocument/2006/relationships/pivotTable" Target="../pivotTables/pivotTable12.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906AA-F069-4E8D-8FED-1E8062CD075E}">
  <dimension ref="A1:J46"/>
  <sheetViews>
    <sheetView workbookViewId="0">
      <selection activeCell="B6" sqref="A1:H46"/>
    </sheetView>
  </sheetViews>
  <sheetFormatPr defaultRowHeight="15" x14ac:dyDescent="0.25"/>
  <cols>
    <col min="1" max="1" width="16.28515625" bestFit="1" customWidth="1"/>
    <col min="2" max="2" width="12.85546875" bestFit="1" customWidth="1"/>
    <col min="3" max="3" width="12.7109375" bestFit="1" customWidth="1"/>
    <col min="4" max="4" width="6.5703125" bestFit="1" customWidth="1"/>
    <col min="5" max="5" width="11.85546875" bestFit="1" customWidth="1"/>
    <col min="6" max="6" width="12.42578125" bestFit="1" customWidth="1"/>
    <col min="7" max="7" width="20.140625" bestFit="1" customWidth="1"/>
    <col min="10" max="10" width="9.7109375" bestFit="1" customWidth="1"/>
  </cols>
  <sheetData>
    <row r="1" spans="1:10" x14ac:dyDescent="0.25">
      <c r="A1" t="s">
        <v>0</v>
      </c>
      <c r="B1" t="s">
        <v>1</v>
      </c>
      <c r="C1" t="s">
        <v>2</v>
      </c>
      <c r="D1" t="s">
        <v>3</v>
      </c>
      <c r="E1" t="s">
        <v>4</v>
      </c>
      <c r="F1" t="s">
        <v>5</v>
      </c>
      <c r="G1" t="s">
        <v>6</v>
      </c>
      <c r="H1" t="s">
        <v>7</v>
      </c>
    </row>
    <row r="2" spans="1:10" x14ac:dyDescent="0.25">
      <c r="A2" t="s">
        <v>8</v>
      </c>
      <c r="B2" t="s">
        <v>9</v>
      </c>
      <c r="C2" t="s">
        <v>10</v>
      </c>
      <c r="D2">
        <v>2</v>
      </c>
      <c r="E2" s="1">
        <v>44947</v>
      </c>
      <c r="F2" t="s">
        <v>14</v>
      </c>
      <c r="G2">
        <v>5</v>
      </c>
      <c r="H2">
        <v>4</v>
      </c>
      <c r="J2">
        <f>AVERAGE(D3:D46)</f>
        <v>2.3181818181818183</v>
      </c>
    </row>
    <row r="3" spans="1:10" x14ac:dyDescent="0.25">
      <c r="A3" t="s">
        <v>11</v>
      </c>
      <c r="B3" t="s">
        <v>12</v>
      </c>
      <c r="C3" t="s">
        <v>13</v>
      </c>
      <c r="D3">
        <v>1</v>
      </c>
      <c r="E3" s="1">
        <v>44948</v>
      </c>
      <c r="F3" t="s">
        <v>14</v>
      </c>
      <c r="G3">
        <v>20</v>
      </c>
      <c r="H3">
        <v>3</v>
      </c>
      <c r="J3">
        <f>AVERAGEIF(C2:C46,"Sushi",G2:G46)</f>
        <v>17</v>
      </c>
    </row>
    <row r="4" spans="1:10" x14ac:dyDescent="0.25">
      <c r="A4" t="s">
        <v>41</v>
      </c>
      <c r="B4" t="s">
        <v>42</v>
      </c>
      <c r="C4" t="s">
        <v>43</v>
      </c>
      <c r="D4">
        <v>2</v>
      </c>
      <c r="E4" s="1">
        <v>44947</v>
      </c>
      <c r="F4" t="s">
        <v>14</v>
      </c>
      <c r="G4">
        <v>5</v>
      </c>
      <c r="H4">
        <v>1</v>
      </c>
      <c r="J4">
        <f>AVERAGEIF(C2:C46,"Fries",G2:G46)</f>
        <v>13.8</v>
      </c>
    </row>
    <row r="5" spans="1:10" x14ac:dyDescent="0.25">
      <c r="A5" t="s">
        <v>15</v>
      </c>
      <c r="B5" t="s">
        <v>9</v>
      </c>
      <c r="C5" t="s">
        <v>16</v>
      </c>
      <c r="D5">
        <v>2</v>
      </c>
      <c r="E5" s="1">
        <v>44950</v>
      </c>
      <c r="F5" t="s">
        <v>14</v>
      </c>
      <c r="G5">
        <v>5</v>
      </c>
      <c r="H5">
        <v>1</v>
      </c>
      <c r="J5">
        <f>AVERAGEIF(C2:C46,"Sandwich",G2:G46)</f>
        <v>12.571428571428571</v>
      </c>
    </row>
    <row r="6" spans="1:10" x14ac:dyDescent="0.25">
      <c r="A6" t="s">
        <v>17</v>
      </c>
      <c r="B6" t="s">
        <v>9</v>
      </c>
      <c r="C6" t="s">
        <v>43</v>
      </c>
      <c r="D6">
        <v>4</v>
      </c>
      <c r="E6" s="1">
        <v>44947</v>
      </c>
      <c r="F6" t="s">
        <v>14</v>
      </c>
      <c r="G6">
        <v>5</v>
      </c>
      <c r="H6">
        <v>1</v>
      </c>
      <c r="J6">
        <f>AVERAGEIF(C2:C46,"Burger",G2:G46)</f>
        <v>22.333333333333332</v>
      </c>
    </row>
    <row r="7" spans="1:10" x14ac:dyDescent="0.25">
      <c r="A7" t="s">
        <v>44</v>
      </c>
      <c r="B7" t="s">
        <v>9</v>
      </c>
      <c r="C7" t="s">
        <v>18</v>
      </c>
      <c r="D7">
        <v>1</v>
      </c>
      <c r="E7" s="1">
        <v>44960</v>
      </c>
      <c r="F7" t="s">
        <v>14</v>
      </c>
      <c r="G7">
        <v>25</v>
      </c>
      <c r="H7">
        <v>5</v>
      </c>
      <c r="J7" s="1">
        <f>E3-1</f>
        <v>44947</v>
      </c>
    </row>
    <row r="8" spans="1:10" x14ac:dyDescent="0.25">
      <c r="A8" t="s">
        <v>19</v>
      </c>
      <c r="B8" t="s">
        <v>9</v>
      </c>
      <c r="C8" t="s">
        <v>20</v>
      </c>
      <c r="D8">
        <v>5</v>
      </c>
      <c r="E8" s="1">
        <v>44940</v>
      </c>
      <c r="F8" t="s">
        <v>14</v>
      </c>
      <c r="G8">
        <v>10</v>
      </c>
      <c r="H8">
        <v>4</v>
      </c>
      <c r="J8" s="1">
        <v>44947</v>
      </c>
    </row>
    <row r="9" spans="1:10" x14ac:dyDescent="0.25">
      <c r="A9" t="s">
        <v>45</v>
      </c>
      <c r="B9" t="s">
        <v>21</v>
      </c>
      <c r="C9" t="s">
        <v>10</v>
      </c>
      <c r="D9">
        <v>2</v>
      </c>
      <c r="E9" s="1">
        <v>44961</v>
      </c>
      <c r="F9" t="s">
        <v>14</v>
      </c>
      <c r="G9">
        <v>20</v>
      </c>
      <c r="H9">
        <v>5</v>
      </c>
    </row>
    <row r="10" spans="1:10" x14ac:dyDescent="0.25">
      <c r="A10" t="s">
        <v>46</v>
      </c>
      <c r="B10" t="s">
        <v>22</v>
      </c>
      <c r="C10" t="s">
        <v>13</v>
      </c>
      <c r="D10">
        <v>1</v>
      </c>
      <c r="E10" s="1">
        <v>44958</v>
      </c>
      <c r="F10" t="s">
        <v>14</v>
      </c>
      <c r="G10">
        <v>25</v>
      </c>
      <c r="H10">
        <v>4</v>
      </c>
    </row>
    <row r="11" spans="1:10" x14ac:dyDescent="0.25">
      <c r="A11" t="s">
        <v>41</v>
      </c>
      <c r="B11" t="s">
        <v>23</v>
      </c>
      <c r="C11" t="s">
        <v>24</v>
      </c>
      <c r="D11">
        <v>3</v>
      </c>
      <c r="E11" s="1">
        <v>44947</v>
      </c>
      <c r="F11" t="s">
        <v>14</v>
      </c>
      <c r="G11">
        <v>25</v>
      </c>
      <c r="H11">
        <v>5</v>
      </c>
    </row>
    <row r="12" spans="1:10" x14ac:dyDescent="0.25">
      <c r="A12" t="s">
        <v>47</v>
      </c>
      <c r="B12" t="s">
        <v>9</v>
      </c>
      <c r="C12" t="s">
        <v>20</v>
      </c>
      <c r="D12">
        <v>1</v>
      </c>
      <c r="E12" s="1">
        <v>44957</v>
      </c>
      <c r="F12" t="s">
        <v>14</v>
      </c>
      <c r="G12">
        <v>25</v>
      </c>
      <c r="H12">
        <v>5</v>
      </c>
    </row>
    <row r="13" spans="1:10" x14ac:dyDescent="0.25">
      <c r="A13" t="s">
        <v>45</v>
      </c>
      <c r="B13" t="s">
        <v>21</v>
      </c>
      <c r="C13" t="s">
        <v>10</v>
      </c>
      <c r="D13">
        <v>2</v>
      </c>
      <c r="E13" s="1">
        <v>44961</v>
      </c>
      <c r="F13" t="s">
        <v>14</v>
      </c>
      <c r="G13">
        <v>25</v>
      </c>
      <c r="H13">
        <v>3</v>
      </c>
    </row>
    <row r="14" spans="1:10" x14ac:dyDescent="0.25">
      <c r="A14" t="s">
        <v>25</v>
      </c>
      <c r="B14" t="s">
        <v>9</v>
      </c>
      <c r="C14" t="s">
        <v>10</v>
      </c>
      <c r="D14">
        <v>1</v>
      </c>
      <c r="E14" s="1">
        <v>44941</v>
      </c>
      <c r="F14" t="s">
        <v>14</v>
      </c>
      <c r="G14">
        <v>25</v>
      </c>
      <c r="H14">
        <v>5</v>
      </c>
    </row>
    <row r="15" spans="1:10" x14ac:dyDescent="0.25">
      <c r="A15" t="s">
        <v>26</v>
      </c>
      <c r="B15" t="s">
        <v>42</v>
      </c>
      <c r="C15" t="s">
        <v>16</v>
      </c>
      <c r="D15">
        <v>2</v>
      </c>
      <c r="E15" s="1">
        <v>44944</v>
      </c>
      <c r="F15" t="s">
        <v>14</v>
      </c>
      <c r="G15">
        <v>15</v>
      </c>
      <c r="H15">
        <v>2</v>
      </c>
    </row>
    <row r="16" spans="1:10" x14ac:dyDescent="0.25">
      <c r="A16" t="s">
        <v>27</v>
      </c>
      <c r="B16" t="s">
        <v>23</v>
      </c>
      <c r="C16" t="s">
        <v>24</v>
      </c>
      <c r="D16">
        <v>1</v>
      </c>
      <c r="E16" s="1">
        <v>44929</v>
      </c>
      <c r="F16" t="s">
        <v>14</v>
      </c>
      <c r="G16">
        <v>20</v>
      </c>
      <c r="H16">
        <v>3</v>
      </c>
    </row>
    <row r="17" spans="1:8" x14ac:dyDescent="0.25">
      <c r="A17" t="s">
        <v>28</v>
      </c>
      <c r="B17" t="s">
        <v>21</v>
      </c>
      <c r="C17" t="s">
        <v>16</v>
      </c>
      <c r="D17">
        <v>2</v>
      </c>
      <c r="E17" s="1">
        <v>44952</v>
      </c>
      <c r="F17" t="s">
        <v>14</v>
      </c>
      <c r="G17">
        <v>25</v>
      </c>
      <c r="H17">
        <v>5</v>
      </c>
    </row>
    <row r="18" spans="1:8" x14ac:dyDescent="0.25">
      <c r="A18" t="s">
        <v>41</v>
      </c>
      <c r="B18" t="s">
        <v>42</v>
      </c>
      <c r="C18" t="s">
        <v>43</v>
      </c>
      <c r="D18">
        <v>2</v>
      </c>
      <c r="E18" s="1">
        <v>44947</v>
      </c>
      <c r="F18" t="s">
        <v>14</v>
      </c>
      <c r="G18">
        <v>20</v>
      </c>
      <c r="H18">
        <v>1</v>
      </c>
    </row>
    <row r="19" spans="1:8" x14ac:dyDescent="0.25">
      <c r="A19" t="s">
        <v>29</v>
      </c>
      <c r="B19" t="s">
        <v>12</v>
      </c>
      <c r="C19" t="s">
        <v>43</v>
      </c>
      <c r="D19">
        <v>4</v>
      </c>
      <c r="E19" s="1">
        <v>44951</v>
      </c>
      <c r="F19" t="s">
        <v>14</v>
      </c>
      <c r="G19">
        <v>15</v>
      </c>
      <c r="H19">
        <v>2</v>
      </c>
    </row>
    <row r="20" spans="1:8" x14ac:dyDescent="0.25">
      <c r="A20" t="s">
        <v>41</v>
      </c>
      <c r="B20" t="s">
        <v>42</v>
      </c>
      <c r="C20" t="s">
        <v>43</v>
      </c>
      <c r="D20">
        <v>2</v>
      </c>
      <c r="E20" s="1">
        <v>44947</v>
      </c>
      <c r="F20" t="s">
        <v>14</v>
      </c>
      <c r="G20">
        <v>15</v>
      </c>
      <c r="H20">
        <v>2</v>
      </c>
    </row>
    <row r="21" spans="1:8" x14ac:dyDescent="0.25">
      <c r="A21" t="s">
        <v>41</v>
      </c>
      <c r="B21" t="s">
        <v>23</v>
      </c>
      <c r="C21" t="s">
        <v>24</v>
      </c>
      <c r="D21">
        <v>3</v>
      </c>
      <c r="E21" s="1">
        <v>44959</v>
      </c>
      <c r="F21" t="s">
        <v>14</v>
      </c>
      <c r="G21">
        <v>20</v>
      </c>
      <c r="H21">
        <v>2</v>
      </c>
    </row>
    <row r="22" spans="1:8" x14ac:dyDescent="0.25">
      <c r="A22" t="s">
        <v>44</v>
      </c>
      <c r="B22" t="s">
        <v>9</v>
      </c>
      <c r="C22" t="s">
        <v>30</v>
      </c>
      <c r="D22">
        <v>3</v>
      </c>
      <c r="E22" s="1">
        <v>44947</v>
      </c>
      <c r="F22" t="s">
        <v>14</v>
      </c>
      <c r="G22">
        <v>5</v>
      </c>
      <c r="H22">
        <v>3</v>
      </c>
    </row>
    <row r="23" spans="1:8" x14ac:dyDescent="0.25">
      <c r="A23" t="s">
        <v>48</v>
      </c>
      <c r="B23" t="s">
        <v>12</v>
      </c>
      <c r="C23" t="s">
        <v>16</v>
      </c>
      <c r="D23">
        <v>1</v>
      </c>
      <c r="E23" s="1">
        <v>44949</v>
      </c>
      <c r="F23" t="s">
        <v>14</v>
      </c>
      <c r="G23">
        <v>10</v>
      </c>
      <c r="H23">
        <v>5</v>
      </c>
    </row>
    <row r="24" spans="1:8" x14ac:dyDescent="0.25">
      <c r="A24" t="s">
        <v>31</v>
      </c>
      <c r="B24" t="s">
        <v>21</v>
      </c>
      <c r="C24" t="s">
        <v>30</v>
      </c>
      <c r="D24">
        <v>1</v>
      </c>
      <c r="E24" s="1">
        <v>44930</v>
      </c>
      <c r="F24" t="s">
        <v>14</v>
      </c>
      <c r="G24">
        <v>5</v>
      </c>
      <c r="H24">
        <v>3</v>
      </c>
    </row>
    <row r="25" spans="1:8" x14ac:dyDescent="0.25">
      <c r="A25" t="s">
        <v>32</v>
      </c>
      <c r="B25" t="s">
        <v>22</v>
      </c>
      <c r="C25" t="s">
        <v>10</v>
      </c>
      <c r="D25">
        <v>5</v>
      </c>
      <c r="E25" s="1">
        <v>44947</v>
      </c>
      <c r="F25" t="s">
        <v>14</v>
      </c>
      <c r="G25">
        <v>17</v>
      </c>
      <c r="H25">
        <v>1</v>
      </c>
    </row>
    <row r="26" spans="1:8" x14ac:dyDescent="0.25">
      <c r="A26" t="s">
        <v>35</v>
      </c>
      <c r="B26" t="s">
        <v>22</v>
      </c>
      <c r="C26" t="s">
        <v>30</v>
      </c>
      <c r="D26">
        <v>4</v>
      </c>
      <c r="E26" s="1">
        <v>44934</v>
      </c>
      <c r="F26" t="s">
        <v>14</v>
      </c>
      <c r="G26">
        <v>5</v>
      </c>
      <c r="H26">
        <v>1</v>
      </c>
    </row>
    <row r="27" spans="1:8" x14ac:dyDescent="0.25">
      <c r="A27" t="s">
        <v>41</v>
      </c>
      <c r="B27" t="s">
        <v>42</v>
      </c>
      <c r="C27" t="s">
        <v>43</v>
      </c>
      <c r="D27">
        <v>2</v>
      </c>
      <c r="E27" s="1">
        <v>44947</v>
      </c>
      <c r="F27" t="s">
        <v>14</v>
      </c>
      <c r="G27">
        <v>25</v>
      </c>
      <c r="H27">
        <v>3</v>
      </c>
    </row>
    <row r="28" spans="1:8" x14ac:dyDescent="0.25">
      <c r="A28" t="s">
        <v>15</v>
      </c>
      <c r="B28" t="s">
        <v>42</v>
      </c>
      <c r="C28" t="s">
        <v>18</v>
      </c>
      <c r="D28">
        <v>1</v>
      </c>
      <c r="E28" s="1">
        <v>44946</v>
      </c>
      <c r="F28" t="s">
        <v>14</v>
      </c>
      <c r="G28">
        <v>15</v>
      </c>
      <c r="H28">
        <v>1</v>
      </c>
    </row>
    <row r="29" spans="1:8" x14ac:dyDescent="0.25">
      <c r="A29" t="s">
        <v>11</v>
      </c>
      <c r="B29" t="s">
        <v>12</v>
      </c>
      <c r="C29" t="s">
        <v>13</v>
      </c>
      <c r="D29">
        <v>1</v>
      </c>
      <c r="E29" s="1">
        <v>44948</v>
      </c>
      <c r="F29" t="s">
        <v>14</v>
      </c>
      <c r="G29">
        <v>5</v>
      </c>
      <c r="H29">
        <v>3</v>
      </c>
    </row>
    <row r="30" spans="1:8" x14ac:dyDescent="0.25">
      <c r="A30" t="s">
        <v>25</v>
      </c>
      <c r="B30" t="s">
        <v>21</v>
      </c>
      <c r="C30" t="s">
        <v>30</v>
      </c>
      <c r="D30">
        <v>4</v>
      </c>
      <c r="E30" s="1">
        <v>44927</v>
      </c>
      <c r="F30" t="s">
        <v>14</v>
      </c>
      <c r="G30">
        <v>13</v>
      </c>
      <c r="H30">
        <v>5</v>
      </c>
    </row>
    <row r="31" spans="1:8" x14ac:dyDescent="0.25">
      <c r="A31" t="s">
        <v>41</v>
      </c>
      <c r="B31" t="s">
        <v>12</v>
      </c>
      <c r="C31" t="s">
        <v>33</v>
      </c>
      <c r="D31">
        <v>3</v>
      </c>
      <c r="E31" s="1">
        <v>44945</v>
      </c>
      <c r="F31" t="s">
        <v>14</v>
      </c>
      <c r="G31">
        <v>22</v>
      </c>
      <c r="H31">
        <v>2</v>
      </c>
    </row>
    <row r="32" spans="1:8" x14ac:dyDescent="0.25">
      <c r="A32" t="s">
        <v>34</v>
      </c>
      <c r="B32" t="s">
        <v>9</v>
      </c>
      <c r="C32" t="s">
        <v>10</v>
      </c>
      <c r="D32">
        <v>3</v>
      </c>
      <c r="E32" s="1">
        <v>44942</v>
      </c>
      <c r="F32" t="s">
        <v>14</v>
      </c>
      <c r="G32">
        <v>10</v>
      </c>
      <c r="H32">
        <v>1</v>
      </c>
    </row>
    <row r="33" spans="1:8" x14ac:dyDescent="0.25">
      <c r="A33" t="s">
        <v>35</v>
      </c>
      <c r="B33" t="s">
        <v>22</v>
      </c>
      <c r="C33" t="s">
        <v>30</v>
      </c>
      <c r="D33">
        <v>4</v>
      </c>
      <c r="E33" s="1">
        <v>44934</v>
      </c>
      <c r="F33" t="s">
        <v>14</v>
      </c>
      <c r="G33">
        <v>20</v>
      </c>
      <c r="H33">
        <v>3</v>
      </c>
    </row>
    <row r="34" spans="1:8" x14ac:dyDescent="0.25">
      <c r="A34" t="s">
        <v>41</v>
      </c>
      <c r="B34" t="s">
        <v>12</v>
      </c>
      <c r="C34" t="s">
        <v>33</v>
      </c>
      <c r="D34">
        <v>3</v>
      </c>
      <c r="E34" s="1">
        <v>44945</v>
      </c>
      <c r="F34" t="s">
        <v>14</v>
      </c>
      <c r="G34">
        <v>20</v>
      </c>
      <c r="H34">
        <v>3</v>
      </c>
    </row>
    <row r="35" spans="1:8" x14ac:dyDescent="0.25">
      <c r="A35" t="s">
        <v>49</v>
      </c>
      <c r="B35" t="s">
        <v>9</v>
      </c>
      <c r="C35" t="s">
        <v>36</v>
      </c>
      <c r="D35">
        <v>2</v>
      </c>
      <c r="E35" s="1">
        <v>44955</v>
      </c>
      <c r="F35" t="s">
        <v>14</v>
      </c>
      <c r="G35">
        <v>25</v>
      </c>
      <c r="H35">
        <v>1</v>
      </c>
    </row>
    <row r="36" spans="1:8" x14ac:dyDescent="0.25">
      <c r="A36" t="s">
        <v>50</v>
      </c>
      <c r="B36" t="s">
        <v>23</v>
      </c>
      <c r="C36" t="s">
        <v>43</v>
      </c>
      <c r="D36">
        <v>1</v>
      </c>
      <c r="E36" s="1">
        <v>44931</v>
      </c>
      <c r="F36" t="s">
        <v>14</v>
      </c>
      <c r="G36">
        <v>10</v>
      </c>
      <c r="H36">
        <v>3</v>
      </c>
    </row>
    <row r="37" spans="1:8" x14ac:dyDescent="0.25">
      <c r="A37" t="s">
        <v>50</v>
      </c>
      <c r="B37" t="s">
        <v>42</v>
      </c>
      <c r="C37" t="s">
        <v>37</v>
      </c>
      <c r="D37">
        <v>1</v>
      </c>
      <c r="E37" s="1">
        <v>44928</v>
      </c>
      <c r="F37" t="s">
        <v>14</v>
      </c>
      <c r="G37">
        <v>20</v>
      </c>
      <c r="H37">
        <v>1</v>
      </c>
    </row>
    <row r="38" spans="1:8" x14ac:dyDescent="0.25">
      <c r="A38" t="s">
        <v>38</v>
      </c>
      <c r="B38" t="s">
        <v>23</v>
      </c>
      <c r="C38" t="s">
        <v>30</v>
      </c>
      <c r="D38">
        <v>2</v>
      </c>
      <c r="E38" s="1">
        <v>44953</v>
      </c>
      <c r="F38" t="s">
        <v>14</v>
      </c>
      <c r="G38">
        <v>20</v>
      </c>
      <c r="H38">
        <v>2</v>
      </c>
    </row>
    <row r="39" spans="1:8" x14ac:dyDescent="0.25">
      <c r="A39" t="s">
        <v>41</v>
      </c>
      <c r="B39" t="s">
        <v>42</v>
      </c>
      <c r="C39" t="s">
        <v>43</v>
      </c>
      <c r="D39">
        <v>2</v>
      </c>
      <c r="E39" s="1">
        <v>44947</v>
      </c>
      <c r="F39" t="s">
        <v>14</v>
      </c>
      <c r="G39">
        <v>10</v>
      </c>
      <c r="H39">
        <v>1</v>
      </c>
    </row>
    <row r="40" spans="1:8" x14ac:dyDescent="0.25">
      <c r="A40" t="s">
        <v>41</v>
      </c>
      <c r="B40" t="s">
        <v>21</v>
      </c>
      <c r="C40" t="s">
        <v>16</v>
      </c>
      <c r="D40">
        <v>1</v>
      </c>
      <c r="E40" s="1">
        <v>44939</v>
      </c>
      <c r="F40" t="s">
        <v>14</v>
      </c>
      <c r="G40">
        <v>14</v>
      </c>
      <c r="H40">
        <v>3</v>
      </c>
    </row>
    <row r="41" spans="1:8" x14ac:dyDescent="0.25">
      <c r="A41" t="s">
        <v>51</v>
      </c>
      <c r="B41" t="s">
        <v>22</v>
      </c>
      <c r="C41" t="s">
        <v>13</v>
      </c>
      <c r="D41">
        <v>1</v>
      </c>
      <c r="E41" s="1">
        <v>44933</v>
      </c>
      <c r="F41" t="s">
        <v>14</v>
      </c>
      <c r="G41">
        <v>20</v>
      </c>
      <c r="H41">
        <v>1</v>
      </c>
    </row>
    <row r="42" spans="1:8" x14ac:dyDescent="0.25">
      <c r="A42" t="s">
        <v>19</v>
      </c>
      <c r="B42" t="s">
        <v>9</v>
      </c>
      <c r="C42" t="s">
        <v>20</v>
      </c>
      <c r="D42">
        <v>5</v>
      </c>
      <c r="E42" s="1">
        <v>44940</v>
      </c>
      <c r="F42" t="s">
        <v>14</v>
      </c>
      <c r="G42">
        <v>10</v>
      </c>
      <c r="H42">
        <v>5</v>
      </c>
    </row>
    <row r="43" spans="1:8" x14ac:dyDescent="0.25">
      <c r="A43" t="s">
        <v>39</v>
      </c>
      <c r="B43" t="s">
        <v>9</v>
      </c>
      <c r="C43" t="s">
        <v>30</v>
      </c>
      <c r="D43">
        <v>2</v>
      </c>
      <c r="E43" s="1">
        <v>44943</v>
      </c>
      <c r="F43" t="s">
        <v>14</v>
      </c>
      <c r="G43">
        <v>20</v>
      </c>
      <c r="H43">
        <v>4</v>
      </c>
    </row>
    <row r="44" spans="1:8" x14ac:dyDescent="0.25">
      <c r="A44" t="s">
        <v>52</v>
      </c>
      <c r="B44" t="s">
        <v>42</v>
      </c>
      <c r="C44" t="s">
        <v>13</v>
      </c>
      <c r="D44">
        <v>1</v>
      </c>
      <c r="E44" s="1">
        <v>44936</v>
      </c>
      <c r="F44" t="s">
        <v>14</v>
      </c>
      <c r="G44">
        <v>20</v>
      </c>
      <c r="H44">
        <v>1</v>
      </c>
    </row>
    <row r="45" spans="1:8" x14ac:dyDescent="0.25">
      <c r="A45" t="s">
        <v>53</v>
      </c>
      <c r="B45" t="s">
        <v>22</v>
      </c>
      <c r="C45" t="s">
        <v>33</v>
      </c>
      <c r="D45">
        <v>5</v>
      </c>
      <c r="E45" s="1">
        <v>44935</v>
      </c>
      <c r="F45" t="s">
        <v>14</v>
      </c>
      <c r="G45">
        <v>25</v>
      </c>
      <c r="H45">
        <v>5</v>
      </c>
    </row>
    <row r="46" spans="1:8" x14ac:dyDescent="0.25">
      <c r="A46" t="s">
        <v>40</v>
      </c>
      <c r="B46" t="s">
        <v>21</v>
      </c>
      <c r="C46" t="s">
        <v>43</v>
      </c>
      <c r="D46">
        <v>3</v>
      </c>
      <c r="E46" s="1">
        <v>44938</v>
      </c>
      <c r="F46" t="s">
        <v>14</v>
      </c>
      <c r="G46">
        <v>5</v>
      </c>
      <c r="H46">
        <v>5</v>
      </c>
    </row>
  </sheetData>
  <autoFilter ref="B1:H46" xr:uid="{939906AA-F069-4E8D-8FED-1E8062CD075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53FD2-F4C1-446B-99DC-91E9AF08B57E}">
  <dimension ref="A1:Q32"/>
  <sheetViews>
    <sheetView topLeftCell="J28" workbookViewId="0">
      <selection activeCell="O9" sqref="O9"/>
    </sheetView>
  </sheetViews>
  <sheetFormatPr defaultRowHeight="15" x14ac:dyDescent="0.25"/>
  <cols>
    <col min="1" max="1" width="13.140625" bestFit="1" customWidth="1"/>
    <col min="2" max="2" width="27" bestFit="1" customWidth="1"/>
    <col min="3" max="3" width="6.140625" bestFit="1" customWidth="1"/>
    <col min="4" max="4" width="11.28515625" bestFit="1" customWidth="1"/>
    <col min="5" max="5" width="5.140625" customWidth="1"/>
    <col min="6" max="6" width="13.42578125" bestFit="1" customWidth="1"/>
    <col min="7" max="7" width="15.42578125" bestFit="1" customWidth="1"/>
    <col min="8" max="8" width="27" bestFit="1" customWidth="1"/>
    <col min="9" max="9" width="8.7109375" bestFit="1" customWidth="1"/>
    <col min="10" max="10" width="16.28515625" bestFit="1" customWidth="1"/>
    <col min="11" max="11" width="27" bestFit="1" customWidth="1"/>
    <col min="12" max="12" width="16.85546875" bestFit="1" customWidth="1"/>
    <col min="13" max="13" width="4" customWidth="1"/>
    <col min="14" max="14" width="27" bestFit="1" customWidth="1"/>
    <col min="15" max="15" width="16.28515625" bestFit="1" customWidth="1"/>
    <col min="16" max="16" width="6.140625" bestFit="1" customWidth="1"/>
    <col min="17" max="17" width="11.28515625" bestFit="1" customWidth="1"/>
    <col min="18" max="22" width="7.42578125" bestFit="1" customWidth="1"/>
    <col min="23" max="41" width="8.42578125" bestFit="1" customWidth="1"/>
    <col min="42" max="45" width="7.85546875" bestFit="1" customWidth="1"/>
    <col min="46" max="46" width="11.28515625" bestFit="1" customWidth="1"/>
  </cols>
  <sheetData>
    <row r="1" spans="1:17" x14ac:dyDescent="0.25">
      <c r="B1">
        <f>GETPIVOTDATA("Price of Dish Ordered",$A$3)</f>
        <v>721</v>
      </c>
      <c r="F1">
        <f>GETPIVOTDATA("Sum of Quantity",$F$3)</f>
        <v>129</v>
      </c>
      <c r="K1">
        <f>GETPIVOTDATA("Count of Quantity",$J$3)</f>
        <v>45</v>
      </c>
    </row>
    <row r="2" spans="1:17" x14ac:dyDescent="0.25">
      <c r="A2" t="s">
        <v>72</v>
      </c>
      <c r="G2" t="s">
        <v>73</v>
      </c>
      <c r="K2" t="s">
        <v>76</v>
      </c>
      <c r="N2" t="s">
        <v>75</v>
      </c>
    </row>
    <row r="3" spans="1:17" x14ac:dyDescent="0.25">
      <c r="A3" s="3" t="s">
        <v>58</v>
      </c>
      <c r="F3" s="3" t="s">
        <v>55</v>
      </c>
      <c r="G3" t="s">
        <v>62</v>
      </c>
      <c r="H3" t="s">
        <v>58</v>
      </c>
      <c r="J3" s="3" t="s">
        <v>55</v>
      </c>
      <c r="K3" t="s">
        <v>58</v>
      </c>
      <c r="L3" t="s">
        <v>63</v>
      </c>
      <c r="N3" s="3" t="s">
        <v>58</v>
      </c>
      <c r="O3" s="3" t="s">
        <v>69</v>
      </c>
    </row>
    <row r="4" spans="1:17" x14ac:dyDescent="0.25">
      <c r="B4" t="s">
        <v>70</v>
      </c>
      <c r="C4" t="s">
        <v>71</v>
      </c>
      <c r="D4" t="s">
        <v>56</v>
      </c>
      <c r="F4" s="4" t="s">
        <v>33</v>
      </c>
      <c r="G4">
        <v>10</v>
      </c>
      <c r="H4">
        <v>67</v>
      </c>
      <c r="J4" s="4" t="s">
        <v>31</v>
      </c>
      <c r="K4">
        <v>5</v>
      </c>
      <c r="L4">
        <v>1</v>
      </c>
      <c r="O4" t="s">
        <v>70</v>
      </c>
      <c r="P4" t="s">
        <v>71</v>
      </c>
      <c r="Q4" t="s">
        <v>56</v>
      </c>
    </row>
    <row r="5" spans="1:17" x14ac:dyDescent="0.25">
      <c r="F5" s="4" t="s">
        <v>16</v>
      </c>
      <c r="G5">
        <v>16</v>
      </c>
      <c r="H5">
        <v>69</v>
      </c>
      <c r="J5" s="4" t="s">
        <v>28</v>
      </c>
      <c r="K5">
        <v>25</v>
      </c>
      <c r="L5">
        <v>1</v>
      </c>
      <c r="N5" s="3" t="s">
        <v>55</v>
      </c>
    </row>
    <row r="6" spans="1:17" x14ac:dyDescent="0.25">
      <c r="F6" s="4" t="s">
        <v>18</v>
      </c>
      <c r="G6">
        <v>6</v>
      </c>
      <c r="H6">
        <v>40</v>
      </c>
      <c r="J6" s="4" t="s">
        <v>8</v>
      </c>
      <c r="K6">
        <v>5</v>
      </c>
      <c r="L6">
        <v>1</v>
      </c>
      <c r="N6" s="4" t="s">
        <v>33</v>
      </c>
      <c r="O6">
        <v>67</v>
      </c>
      <c r="Q6">
        <v>67</v>
      </c>
    </row>
    <row r="7" spans="1:17" x14ac:dyDescent="0.25">
      <c r="A7" s="4" t="s">
        <v>33</v>
      </c>
      <c r="B7">
        <v>67</v>
      </c>
      <c r="D7">
        <v>67</v>
      </c>
      <c r="F7" s="4" t="s">
        <v>43</v>
      </c>
      <c r="G7">
        <v>19</v>
      </c>
      <c r="H7">
        <v>110</v>
      </c>
      <c r="J7" s="4" t="s">
        <v>39</v>
      </c>
      <c r="K7">
        <v>20</v>
      </c>
      <c r="L7">
        <v>1</v>
      </c>
      <c r="N7" s="4" t="s">
        <v>16</v>
      </c>
      <c r="O7">
        <v>69</v>
      </c>
      <c r="Q7">
        <v>69</v>
      </c>
    </row>
    <row r="8" spans="1:17" x14ac:dyDescent="0.25">
      <c r="A8" s="4" t="s">
        <v>16</v>
      </c>
      <c r="B8">
        <v>69</v>
      </c>
      <c r="D8">
        <v>69</v>
      </c>
      <c r="F8" s="4" t="s">
        <v>13</v>
      </c>
      <c r="G8">
        <v>12</v>
      </c>
      <c r="H8">
        <v>90</v>
      </c>
      <c r="J8" s="4" t="s">
        <v>44</v>
      </c>
      <c r="K8">
        <v>30</v>
      </c>
      <c r="L8">
        <v>2</v>
      </c>
      <c r="N8" s="4" t="s">
        <v>18</v>
      </c>
      <c r="O8">
        <v>15</v>
      </c>
      <c r="P8">
        <v>25</v>
      </c>
      <c r="Q8">
        <v>40</v>
      </c>
    </row>
    <row r="9" spans="1:17" x14ac:dyDescent="0.25">
      <c r="A9" s="4" t="s">
        <v>18</v>
      </c>
      <c r="B9">
        <v>15</v>
      </c>
      <c r="C9">
        <v>25</v>
      </c>
      <c r="D9">
        <v>40</v>
      </c>
      <c r="F9" s="4" t="s">
        <v>36</v>
      </c>
      <c r="G9">
        <v>1</v>
      </c>
      <c r="H9">
        <v>25</v>
      </c>
      <c r="J9" s="4" t="s">
        <v>38</v>
      </c>
      <c r="K9">
        <v>20</v>
      </c>
      <c r="L9">
        <v>1</v>
      </c>
      <c r="N9" s="4" t="s">
        <v>43</v>
      </c>
      <c r="O9">
        <v>110</v>
      </c>
      <c r="Q9">
        <v>110</v>
      </c>
    </row>
    <row r="10" spans="1:17" x14ac:dyDescent="0.25">
      <c r="A10" s="4" t="s">
        <v>43</v>
      </c>
      <c r="B10">
        <v>110</v>
      </c>
      <c r="D10">
        <v>110</v>
      </c>
      <c r="F10" s="4" t="s">
        <v>24</v>
      </c>
      <c r="G10">
        <v>10</v>
      </c>
      <c r="H10">
        <v>65</v>
      </c>
      <c r="J10" s="4" t="s">
        <v>47</v>
      </c>
      <c r="K10">
        <v>25</v>
      </c>
      <c r="L10">
        <v>1</v>
      </c>
      <c r="N10" s="4" t="s">
        <v>13</v>
      </c>
      <c r="O10">
        <v>65</v>
      </c>
      <c r="P10">
        <v>25</v>
      </c>
      <c r="Q10">
        <v>90</v>
      </c>
    </row>
    <row r="11" spans="1:17" x14ac:dyDescent="0.25">
      <c r="A11" s="4" t="s">
        <v>13</v>
      </c>
      <c r="B11">
        <v>65</v>
      </c>
      <c r="C11">
        <v>25</v>
      </c>
      <c r="D11">
        <v>90</v>
      </c>
      <c r="F11" s="4" t="s">
        <v>30</v>
      </c>
      <c r="G11">
        <v>21</v>
      </c>
      <c r="H11">
        <v>88</v>
      </c>
      <c r="J11" s="4" t="s">
        <v>25</v>
      </c>
      <c r="K11">
        <v>38</v>
      </c>
      <c r="L11">
        <v>2</v>
      </c>
      <c r="N11" s="4" t="s">
        <v>36</v>
      </c>
      <c r="O11">
        <v>25</v>
      </c>
      <c r="Q11">
        <v>25</v>
      </c>
    </row>
    <row r="12" spans="1:17" x14ac:dyDescent="0.25">
      <c r="A12" s="4" t="s">
        <v>36</v>
      </c>
      <c r="B12">
        <v>25</v>
      </c>
      <c r="D12">
        <v>25</v>
      </c>
      <c r="F12" s="4" t="s">
        <v>10</v>
      </c>
      <c r="G12">
        <v>19</v>
      </c>
      <c r="H12">
        <v>102</v>
      </c>
      <c r="J12" s="4" t="s">
        <v>29</v>
      </c>
      <c r="K12">
        <v>15</v>
      </c>
      <c r="L12">
        <v>1</v>
      </c>
      <c r="N12" s="4" t="s">
        <v>24</v>
      </c>
      <c r="O12">
        <v>45</v>
      </c>
      <c r="P12">
        <v>20</v>
      </c>
      <c r="Q12">
        <v>65</v>
      </c>
    </row>
    <row r="13" spans="1:17" x14ac:dyDescent="0.25">
      <c r="A13" s="4" t="s">
        <v>24</v>
      </c>
      <c r="B13">
        <v>45</v>
      </c>
      <c r="C13">
        <v>20</v>
      </c>
      <c r="D13">
        <v>65</v>
      </c>
      <c r="F13" s="4" t="s">
        <v>20</v>
      </c>
      <c r="G13">
        <v>14</v>
      </c>
      <c r="H13">
        <v>45</v>
      </c>
      <c r="J13" s="4" t="s">
        <v>26</v>
      </c>
      <c r="K13">
        <v>15</v>
      </c>
      <c r="L13">
        <v>1</v>
      </c>
      <c r="N13" s="4" t="s">
        <v>30</v>
      </c>
      <c r="O13">
        <v>88</v>
      </c>
      <c r="Q13">
        <v>88</v>
      </c>
    </row>
    <row r="14" spans="1:17" x14ac:dyDescent="0.25">
      <c r="A14" s="4" t="s">
        <v>30</v>
      </c>
      <c r="B14">
        <v>88</v>
      </c>
      <c r="D14">
        <v>88</v>
      </c>
      <c r="F14" s="4" t="s">
        <v>37</v>
      </c>
      <c r="G14">
        <v>1</v>
      </c>
      <c r="H14">
        <v>20</v>
      </c>
      <c r="J14" s="4" t="s">
        <v>27</v>
      </c>
      <c r="K14">
        <v>20</v>
      </c>
      <c r="L14">
        <v>1</v>
      </c>
      <c r="N14" s="4" t="s">
        <v>10</v>
      </c>
      <c r="O14">
        <v>57</v>
      </c>
      <c r="P14">
        <v>45</v>
      </c>
      <c r="Q14">
        <v>102</v>
      </c>
    </row>
    <row r="15" spans="1:17" x14ac:dyDescent="0.25">
      <c r="A15" s="4" t="s">
        <v>10</v>
      </c>
      <c r="B15">
        <v>57</v>
      </c>
      <c r="C15">
        <v>45</v>
      </c>
      <c r="D15">
        <v>102</v>
      </c>
      <c r="F15" s="4" t="s">
        <v>56</v>
      </c>
      <c r="G15">
        <v>129</v>
      </c>
      <c r="H15">
        <v>721</v>
      </c>
      <c r="J15" s="4" t="s">
        <v>45</v>
      </c>
      <c r="K15">
        <v>45</v>
      </c>
      <c r="L15">
        <v>2</v>
      </c>
      <c r="N15" s="4" t="s">
        <v>20</v>
      </c>
      <c r="O15">
        <v>45</v>
      </c>
      <c r="Q15">
        <v>45</v>
      </c>
    </row>
    <row r="16" spans="1:17" x14ac:dyDescent="0.25">
      <c r="A16" s="4" t="s">
        <v>20</v>
      </c>
      <c r="B16">
        <v>45</v>
      </c>
      <c r="D16">
        <v>45</v>
      </c>
      <c r="J16" s="4" t="s">
        <v>15</v>
      </c>
      <c r="K16">
        <v>20</v>
      </c>
      <c r="L16">
        <v>2</v>
      </c>
      <c r="N16" s="4" t="s">
        <v>37</v>
      </c>
      <c r="O16">
        <v>20</v>
      </c>
      <c r="Q16">
        <v>20</v>
      </c>
    </row>
    <row r="17" spans="1:17" x14ac:dyDescent="0.25">
      <c r="A17" s="4" t="s">
        <v>37</v>
      </c>
      <c r="B17">
        <v>20</v>
      </c>
      <c r="D17">
        <v>20</v>
      </c>
      <c r="J17" s="4" t="s">
        <v>53</v>
      </c>
      <c r="K17">
        <v>25</v>
      </c>
      <c r="L17">
        <v>1</v>
      </c>
      <c r="N17" s="4" t="s">
        <v>56</v>
      </c>
      <c r="O17">
        <v>606</v>
      </c>
      <c r="P17">
        <v>115</v>
      </c>
      <c r="Q17">
        <v>721</v>
      </c>
    </row>
    <row r="18" spans="1:17" x14ac:dyDescent="0.25">
      <c r="A18" s="4" t="s">
        <v>56</v>
      </c>
      <c r="B18">
        <v>606</v>
      </c>
      <c r="C18">
        <v>115</v>
      </c>
      <c r="D18">
        <v>721</v>
      </c>
      <c r="J18" s="4" t="s">
        <v>46</v>
      </c>
      <c r="K18">
        <v>25</v>
      </c>
      <c r="L18">
        <v>1</v>
      </c>
    </row>
    <row r="19" spans="1:17" x14ac:dyDescent="0.25">
      <c r="J19" s="4" t="s">
        <v>49</v>
      </c>
      <c r="K19">
        <v>25</v>
      </c>
      <c r="L19">
        <v>1</v>
      </c>
    </row>
    <row r="20" spans="1:17" x14ac:dyDescent="0.25">
      <c r="J20" s="4" t="s">
        <v>52</v>
      </c>
      <c r="K20">
        <v>20</v>
      </c>
      <c r="L20">
        <v>1</v>
      </c>
    </row>
    <row r="21" spans="1:17" x14ac:dyDescent="0.25">
      <c r="B21" t="s">
        <v>74</v>
      </c>
      <c r="J21" s="4" t="s">
        <v>35</v>
      </c>
      <c r="K21">
        <v>25</v>
      </c>
      <c r="L21">
        <v>2</v>
      </c>
    </row>
    <row r="22" spans="1:17" x14ac:dyDescent="0.25">
      <c r="A22" s="3" t="s">
        <v>55</v>
      </c>
      <c r="B22" t="s">
        <v>58</v>
      </c>
      <c r="J22" s="4" t="s">
        <v>32</v>
      </c>
      <c r="K22">
        <v>17</v>
      </c>
      <c r="L22">
        <v>1</v>
      </c>
    </row>
    <row r="23" spans="1:17" x14ac:dyDescent="0.25">
      <c r="A23" s="4" t="s">
        <v>70</v>
      </c>
      <c r="B23">
        <v>606</v>
      </c>
      <c r="J23" s="4" t="s">
        <v>50</v>
      </c>
      <c r="K23">
        <v>30</v>
      </c>
      <c r="L23">
        <v>2</v>
      </c>
    </row>
    <row r="24" spans="1:17" x14ac:dyDescent="0.25">
      <c r="A24" s="4" t="s">
        <v>71</v>
      </c>
      <c r="B24">
        <v>115</v>
      </c>
      <c r="J24" s="4" t="s">
        <v>51</v>
      </c>
      <c r="K24">
        <v>20</v>
      </c>
      <c r="L24">
        <v>1</v>
      </c>
    </row>
    <row r="25" spans="1:17" x14ac:dyDescent="0.25">
      <c r="A25" s="4" t="s">
        <v>56</v>
      </c>
      <c r="B25">
        <v>721</v>
      </c>
      <c r="J25" s="4" t="s">
        <v>17</v>
      </c>
      <c r="K25">
        <v>5</v>
      </c>
      <c r="L25">
        <v>1</v>
      </c>
    </row>
    <row r="26" spans="1:17" x14ac:dyDescent="0.25">
      <c r="J26" s="4" t="s">
        <v>34</v>
      </c>
      <c r="K26">
        <v>10</v>
      </c>
      <c r="L26">
        <v>1</v>
      </c>
    </row>
    <row r="27" spans="1:17" x14ac:dyDescent="0.25">
      <c r="J27" s="4" t="s">
        <v>41</v>
      </c>
      <c r="K27">
        <v>176</v>
      </c>
      <c r="L27">
        <v>10</v>
      </c>
    </row>
    <row r="28" spans="1:17" x14ac:dyDescent="0.25">
      <c r="J28" s="4" t="s">
        <v>48</v>
      </c>
      <c r="K28">
        <v>10</v>
      </c>
      <c r="L28">
        <v>1</v>
      </c>
    </row>
    <row r="29" spans="1:17" x14ac:dyDescent="0.25">
      <c r="J29" s="4" t="s">
        <v>40</v>
      </c>
      <c r="K29">
        <v>5</v>
      </c>
      <c r="L29">
        <v>1</v>
      </c>
    </row>
    <row r="30" spans="1:17" x14ac:dyDescent="0.25">
      <c r="J30" s="4" t="s">
        <v>11</v>
      </c>
      <c r="K30">
        <v>25</v>
      </c>
      <c r="L30">
        <v>2</v>
      </c>
    </row>
    <row r="31" spans="1:17" x14ac:dyDescent="0.25">
      <c r="J31" s="4" t="s">
        <v>19</v>
      </c>
      <c r="K31">
        <v>20</v>
      </c>
      <c r="L31">
        <v>2</v>
      </c>
    </row>
    <row r="32" spans="1:17" x14ac:dyDescent="0.25">
      <c r="J32" s="4" t="s">
        <v>56</v>
      </c>
      <c r="K32">
        <v>721</v>
      </c>
      <c r="L32">
        <v>45</v>
      </c>
    </row>
  </sheetData>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D57C9-A086-404D-949D-6DDC4E02E083}">
  <dimension ref="A1:I46"/>
  <sheetViews>
    <sheetView workbookViewId="0">
      <selection activeCell="K8" sqref="K8"/>
    </sheetView>
  </sheetViews>
  <sheetFormatPr defaultRowHeight="15" x14ac:dyDescent="0.25"/>
  <cols>
    <col min="1" max="1" width="11.7109375" customWidth="1"/>
    <col min="2" max="2" width="12.7109375" customWidth="1"/>
    <col min="3" max="3" width="14.85546875" customWidth="1"/>
    <col min="5" max="5" width="14" customWidth="1"/>
    <col min="6" max="6" width="12.42578125" bestFit="1" customWidth="1"/>
    <col min="7" max="7" width="22" customWidth="1"/>
    <col min="8" max="8" width="10.85546875" customWidth="1"/>
  </cols>
  <sheetData>
    <row r="1" spans="1:9" x14ac:dyDescent="0.25">
      <c r="A1" t="s">
        <v>0</v>
      </c>
      <c r="B1" t="s">
        <v>1</v>
      </c>
      <c r="C1" t="s">
        <v>2</v>
      </c>
      <c r="D1" t="s">
        <v>3</v>
      </c>
      <c r="E1" t="s">
        <v>4</v>
      </c>
      <c r="F1" t="s">
        <v>5</v>
      </c>
      <c r="G1" t="s">
        <v>6</v>
      </c>
      <c r="H1" t="s">
        <v>7</v>
      </c>
      <c r="I1" t="s">
        <v>78</v>
      </c>
    </row>
    <row r="2" spans="1:9" x14ac:dyDescent="0.25">
      <c r="A2" t="s">
        <v>8</v>
      </c>
      <c r="B2" t="s">
        <v>9</v>
      </c>
      <c r="C2" t="s">
        <v>10</v>
      </c>
      <c r="D2">
        <v>2</v>
      </c>
      <c r="E2" s="1">
        <v>44947</v>
      </c>
      <c r="F2" t="s">
        <v>14</v>
      </c>
      <c r="G2">
        <v>5</v>
      </c>
      <c r="H2">
        <v>4</v>
      </c>
      <c r="I2" t="s">
        <v>79</v>
      </c>
    </row>
    <row r="3" spans="1:9" x14ac:dyDescent="0.25">
      <c r="A3" t="s">
        <v>11</v>
      </c>
      <c r="B3" t="s">
        <v>12</v>
      </c>
      <c r="C3" t="s">
        <v>13</v>
      </c>
      <c r="D3">
        <v>1</v>
      </c>
      <c r="E3" s="1">
        <v>44948</v>
      </c>
      <c r="F3" t="s">
        <v>14</v>
      </c>
      <c r="G3">
        <v>20</v>
      </c>
      <c r="H3">
        <v>3</v>
      </c>
      <c r="I3">
        <f>G2*H2</f>
        <v>20</v>
      </c>
    </row>
    <row r="4" spans="1:9" x14ac:dyDescent="0.25">
      <c r="A4" t="s">
        <v>41</v>
      </c>
      <c r="B4" t="s">
        <v>42</v>
      </c>
      <c r="C4" t="s">
        <v>43</v>
      </c>
      <c r="D4">
        <v>2</v>
      </c>
      <c r="E4" s="1">
        <v>44947</v>
      </c>
      <c r="F4" t="s">
        <v>14</v>
      </c>
      <c r="G4">
        <v>5</v>
      </c>
      <c r="H4">
        <v>1</v>
      </c>
      <c r="I4">
        <f t="shared" ref="I4:I46" si="0">G3*H3</f>
        <v>60</v>
      </c>
    </row>
    <row r="5" spans="1:9" x14ac:dyDescent="0.25">
      <c r="A5" t="s">
        <v>15</v>
      </c>
      <c r="B5" t="s">
        <v>9</v>
      </c>
      <c r="C5" t="s">
        <v>16</v>
      </c>
      <c r="D5">
        <v>2</v>
      </c>
      <c r="E5" s="1">
        <v>44950</v>
      </c>
      <c r="F5" t="s">
        <v>14</v>
      </c>
      <c r="G5">
        <v>5</v>
      </c>
      <c r="H5">
        <v>1</v>
      </c>
      <c r="I5">
        <f t="shared" si="0"/>
        <v>5</v>
      </c>
    </row>
    <row r="6" spans="1:9" x14ac:dyDescent="0.25">
      <c r="A6" t="s">
        <v>17</v>
      </c>
      <c r="B6" t="s">
        <v>9</v>
      </c>
      <c r="C6" t="s">
        <v>43</v>
      </c>
      <c r="D6">
        <v>4</v>
      </c>
      <c r="E6" s="1">
        <v>44947</v>
      </c>
      <c r="F6" t="s">
        <v>14</v>
      </c>
      <c r="G6">
        <v>5</v>
      </c>
      <c r="H6">
        <v>1</v>
      </c>
      <c r="I6">
        <f t="shared" si="0"/>
        <v>5</v>
      </c>
    </row>
    <row r="7" spans="1:9" x14ac:dyDescent="0.25">
      <c r="A7" t="s">
        <v>44</v>
      </c>
      <c r="B7" t="s">
        <v>9</v>
      </c>
      <c r="C7" t="s">
        <v>18</v>
      </c>
      <c r="D7">
        <v>1</v>
      </c>
      <c r="E7" s="1">
        <v>44960</v>
      </c>
      <c r="F7" t="s">
        <v>14</v>
      </c>
      <c r="G7">
        <v>25</v>
      </c>
      <c r="H7">
        <v>5</v>
      </c>
      <c r="I7">
        <f t="shared" si="0"/>
        <v>5</v>
      </c>
    </row>
    <row r="8" spans="1:9" x14ac:dyDescent="0.25">
      <c r="A8" t="s">
        <v>19</v>
      </c>
      <c r="B8" t="s">
        <v>9</v>
      </c>
      <c r="C8" t="s">
        <v>20</v>
      </c>
      <c r="D8">
        <v>5</v>
      </c>
      <c r="E8" s="1">
        <v>44940</v>
      </c>
      <c r="F8" t="s">
        <v>14</v>
      </c>
      <c r="G8">
        <v>10</v>
      </c>
      <c r="H8">
        <v>4</v>
      </c>
      <c r="I8">
        <f t="shared" si="0"/>
        <v>125</v>
      </c>
    </row>
    <row r="9" spans="1:9" x14ac:dyDescent="0.25">
      <c r="A9" t="s">
        <v>45</v>
      </c>
      <c r="B9" t="s">
        <v>21</v>
      </c>
      <c r="C9" t="s">
        <v>10</v>
      </c>
      <c r="D9">
        <v>2</v>
      </c>
      <c r="E9" s="1">
        <v>44961</v>
      </c>
      <c r="F9" t="s">
        <v>14</v>
      </c>
      <c r="G9">
        <v>20</v>
      </c>
      <c r="H9">
        <v>5</v>
      </c>
      <c r="I9">
        <f t="shared" si="0"/>
        <v>40</v>
      </c>
    </row>
    <row r="10" spans="1:9" x14ac:dyDescent="0.25">
      <c r="A10" t="s">
        <v>46</v>
      </c>
      <c r="B10" t="s">
        <v>22</v>
      </c>
      <c r="C10" t="s">
        <v>13</v>
      </c>
      <c r="D10">
        <v>1</v>
      </c>
      <c r="E10" s="1">
        <v>44958</v>
      </c>
      <c r="F10" t="s">
        <v>14</v>
      </c>
      <c r="G10">
        <v>25</v>
      </c>
      <c r="H10">
        <v>4</v>
      </c>
      <c r="I10">
        <f t="shared" si="0"/>
        <v>100</v>
      </c>
    </row>
    <row r="11" spans="1:9" x14ac:dyDescent="0.25">
      <c r="A11" t="s">
        <v>41</v>
      </c>
      <c r="B11" t="s">
        <v>23</v>
      </c>
      <c r="C11" t="s">
        <v>24</v>
      </c>
      <c r="D11">
        <v>3</v>
      </c>
      <c r="E11" s="1">
        <v>44947</v>
      </c>
      <c r="F11" t="s">
        <v>14</v>
      </c>
      <c r="G11">
        <v>25</v>
      </c>
      <c r="H11">
        <v>5</v>
      </c>
      <c r="I11">
        <f t="shared" si="0"/>
        <v>100</v>
      </c>
    </row>
    <row r="12" spans="1:9" x14ac:dyDescent="0.25">
      <c r="A12" t="s">
        <v>47</v>
      </c>
      <c r="B12" t="s">
        <v>9</v>
      </c>
      <c r="C12" t="s">
        <v>20</v>
      </c>
      <c r="D12">
        <v>1</v>
      </c>
      <c r="E12" s="1">
        <v>44957</v>
      </c>
      <c r="F12" t="s">
        <v>14</v>
      </c>
      <c r="G12">
        <v>25</v>
      </c>
      <c r="H12">
        <v>5</v>
      </c>
      <c r="I12">
        <f t="shared" si="0"/>
        <v>125</v>
      </c>
    </row>
    <row r="13" spans="1:9" x14ac:dyDescent="0.25">
      <c r="A13" t="s">
        <v>45</v>
      </c>
      <c r="B13" t="s">
        <v>21</v>
      </c>
      <c r="C13" t="s">
        <v>10</v>
      </c>
      <c r="D13">
        <v>2</v>
      </c>
      <c r="E13" s="1">
        <v>44961</v>
      </c>
      <c r="F13" t="s">
        <v>14</v>
      </c>
      <c r="G13">
        <v>25</v>
      </c>
      <c r="H13">
        <v>3</v>
      </c>
      <c r="I13">
        <f t="shared" si="0"/>
        <v>125</v>
      </c>
    </row>
    <row r="14" spans="1:9" x14ac:dyDescent="0.25">
      <c r="A14" t="s">
        <v>25</v>
      </c>
      <c r="B14" t="s">
        <v>9</v>
      </c>
      <c r="C14" t="s">
        <v>10</v>
      </c>
      <c r="D14">
        <v>1</v>
      </c>
      <c r="E14" s="1">
        <v>44941</v>
      </c>
      <c r="F14" t="s">
        <v>14</v>
      </c>
      <c r="G14">
        <v>25</v>
      </c>
      <c r="H14">
        <v>5</v>
      </c>
      <c r="I14">
        <f t="shared" si="0"/>
        <v>75</v>
      </c>
    </row>
    <row r="15" spans="1:9" x14ac:dyDescent="0.25">
      <c r="A15" t="s">
        <v>26</v>
      </c>
      <c r="B15" t="s">
        <v>42</v>
      </c>
      <c r="C15" t="s">
        <v>16</v>
      </c>
      <c r="D15">
        <v>2</v>
      </c>
      <c r="E15" s="1">
        <v>44944</v>
      </c>
      <c r="F15" t="s">
        <v>14</v>
      </c>
      <c r="G15">
        <v>15</v>
      </c>
      <c r="H15">
        <v>2</v>
      </c>
      <c r="I15">
        <f t="shared" si="0"/>
        <v>125</v>
      </c>
    </row>
    <row r="16" spans="1:9" x14ac:dyDescent="0.25">
      <c r="A16" t="s">
        <v>27</v>
      </c>
      <c r="B16" t="s">
        <v>23</v>
      </c>
      <c r="C16" t="s">
        <v>24</v>
      </c>
      <c r="D16">
        <v>1</v>
      </c>
      <c r="E16" s="1">
        <v>44929</v>
      </c>
      <c r="F16" t="s">
        <v>14</v>
      </c>
      <c r="G16">
        <v>20</v>
      </c>
      <c r="H16">
        <v>3</v>
      </c>
      <c r="I16">
        <f t="shared" si="0"/>
        <v>30</v>
      </c>
    </row>
    <row r="17" spans="1:9" x14ac:dyDescent="0.25">
      <c r="A17" t="s">
        <v>28</v>
      </c>
      <c r="B17" t="s">
        <v>21</v>
      </c>
      <c r="C17" t="s">
        <v>16</v>
      </c>
      <c r="D17">
        <v>2</v>
      </c>
      <c r="E17" s="1">
        <v>44952</v>
      </c>
      <c r="F17" t="s">
        <v>14</v>
      </c>
      <c r="G17">
        <v>25</v>
      </c>
      <c r="H17">
        <v>5</v>
      </c>
      <c r="I17">
        <f t="shared" si="0"/>
        <v>60</v>
      </c>
    </row>
    <row r="18" spans="1:9" x14ac:dyDescent="0.25">
      <c r="A18" t="s">
        <v>41</v>
      </c>
      <c r="B18" t="s">
        <v>42</v>
      </c>
      <c r="C18" t="s">
        <v>43</v>
      </c>
      <c r="D18">
        <v>2</v>
      </c>
      <c r="E18" s="1">
        <v>44947</v>
      </c>
      <c r="F18" t="s">
        <v>14</v>
      </c>
      <c r="G18">
        <v>20</v>
      </c>
      <c r="H18">
        <v>1</v>
      </c>
      <c r="I18">
        <f t="shared" si="0"/>
        <v>125</v>
      </c>
    </row>
    <row r="19" spans="1:9" x14ac:dyDescent="0.25">
      <c r="A19" t="s">
        <v>29</v>
      </c>
      <c r="B19" t="s">
        <v>12</v>
      </c>
      <c r="C19" t="s">
        <v>43</v>
      </c>
      <c r="D19">
        <v>4</v>
      </c>
      <c r="E19" s="1">
        <v>44951</v>
      </c>
      <c r="F19" t="s">
        <v>14</v>
      </c>
      <c r="G19">
        <v>15</v>
      </c>
      <c r="H19">
        <v>2</v>
      </c>
      <c r="I19">
        <f t="shared" si="0"/>
        <v>20</v>
      </c>
    </row>
    <row r="20" spans="1:9" x14ac:dyDescent="0.25">
      <c r="A20" t="s">
        <v>41</v>
      </c>
      <c r="B20" t="s">
        <v>42</v>
      </c>
      <c r="C20" t="s">
        <v>43</v>
      </c>
      <c r="D20">
        <v>2</v>
      </c>
      <c r="E20" s="1">
        <v>44947</v>
      </c>
      <c r="F20" t="s">
        <v>14</v>
      </c>
      <c r="G20">
        <v>15</v>
      </c>
      <c r="H20">
        <v>2</v>
      </c>
      <c r="I20">
        <f t="shared" si="0"/>
        <v>30</v>
      </c>
    </row>
    <row r="21" spans="1:9" x14ac:dyDescent="0.25">
      <c r="A21" t="s">
        <v>41</v>
      </c>
      <c r="B21" t="s">
        <v>23</v>
      </c>
      <c r="C21" t="s">
        <v>24</v>
      </c>
      <c r="D21">
        <v>3</v>
      </c>
      <c r="E21" s="1">
        <v>44959</v>
      </c>
      <c r="F21" t="s">
        <v>14</v>
      </c>
      <c r="G21">
        <v>20</v>
      </c>
      <c r="H21">
        <v>2</v>
      </c>
      <c r="I21">
        <f t="shared" si="0"/>
        <v>30</v>
      </c>
    </row>
    <row r="22" spans="1:9" x14ac:dyDescent="0.25">
      <c r="A22" t="s">
        <v>44</v>
      </c>
      <c r="B22" t="s">
        <v>9</v>
      </c>
      <c r="C22" t="s">
        <v>30</v>
      </c>
      <c r="D22">
        <v>3</v>
      </c>
      <c r="E22" s="1">
        <v>44947</v>
      </c>
      <c r="F22" t="s">
        <v>14</v>
      </c>
      <c r="G22">
        <v>5</v>
      </c>
      <c r="H22">
        <v>3</v>
      </c>
      <c r="I22">
        <f t="shared" si="0"/>
        <v>40</v>
      </c>
    </row>
    <row r="23" spans="1:9" x14ac:dyDescent="0.25">
      <c r="A23" t="s">
        <v>48</v>
      </c>
      <c r="B23" t="s">
        <v>12</v>
      </c>
      <c r="C23" t="s">
        <v>16</v>
      </c>
      <c r="D23">
        <v>1</v>
      </c>
      <c r="E23" s="1">
        <v>44949</v>
      </c>
      <c r="F23" t="s">
        <v>14</v>
      </c>
      <c r="G23">
        <v>10</v>
      </c>
      <c r="H23">
        <v>5</v>
      </c>
      <c r="I23">
        <f t="shared" si="0"/>
        <v>15</v>
      </c>
    </row>
    <row r="24" spans="1:9" x14ac:dyDescent="0.25">
      <c r="A24" t="s">
        <v>31</v>
      </c>
      <c r="B24" t="s">
        <v>21</v>
      </c>
      <c r="C24" t="s">
        <v>30</v>
      </c>
      <c r="D24">
        <v>1</v>
      </c>
      <c r="E24" s="1">
        <v>44930</v>
      </c>
      <c r="F24" t="s">
        <v>14</v>
      </c>
      <c r="G24">
        <v>5</v>
      </c>
      <c r="H24">
        <v>3</v>
      </c>
      <c r="I24">
        <f t="shared" si="0"/>
        <v>50</v>
      </c>
    </row>
    <row r="25" spans="1:9" x14ac:dyDescent="0.25">
      <c r="A25" t="s">
        <v>32</v>
      </c>
      <c r="B25" t="s">
        <v>22</v>
      </c>
      <c r="C25" t="s">
        <v>10</v>
      </c>
      <c r="D25">
        <v>5</v>
      </c>
      <c r="E25" s="1">
        <v>44947</v>
      </c>
      <c r="F25" t="s">
        <v>14</v>
      </c>
      <c r="G25">
        <v>17</v>
      </c>
      <c r="H25">
        <v>1</v>
      </c>
      <c r="I25">
        <f t="shared" si="0"/>
        <v>15</v>
      </c>
    </row>
    <row r="26" spans="1:9" x14ac:dyDescent="0.25">
      <c r="A26" t="s">
        <v>35</v>
      </c>
      <c r="B26" t="s">
        <v>22</v>
      </c>
      <c r="C26" t="s">
        <v>30</v>
      </c>
      <c r="D26">
        <v>4</v>
      </c>
      <c r="E26" s="1">
        <v>44934</v>
      </c>
      <c r="F26" t="s">
        <v>14</v>
      </c>
      <c r="G26">
        <v>5</v>
      </c>
      <c r="H26">
        <v>1</v>
      </c>
      <c r="I26">
        <f t="shared" si="0"/>
        <v>17</v>
      </c>
    </row>
    <row r="27" spans="1:9" x14ac:dyDescent="0.25">
      <c r="A27" t="s">
        <v>41</v>
      </c>
      <c r="B27" t="s">
        <v>42</v>
      </c>
      <c r="C27" t="s">
        <v>43</v>
      </c>
      <c r="D27">
        <v>2</v>
      </c>
      <c r="E27" s="1">
        <v>44947</v>
      </c>
      <c r="F27" t="s">
        <v>14</v>
      </c>
      <c r="G27">
        <v>25</v>
      </c>
      <c r="H27">
        <v>3</v>
      </c>
      <c r="I27">
        <f t="shared" si="0"/>
        <v>5</v>
      </c>
    </row>
    <row r="28" spans="1:9" x14ac:dyDescent="0.25">
      <c r="A28" t="s">
        <v>15</v>
      </c>
      <c r="B28" t="s">
        <v>42</v>
      </c>
      <c r="C28" t="s">
        <v>18</v>
      </c>
      <c r="D28">
        <v>1</v>
      </c>
      <c r="E28" s="1">
        <v>44946</v>
      </c>
      <c r="F28" t="s">
        <v>14</v>
      </c>
      <c r="G28">
        <v>15</v>
      </c>
      <c r="H28">
        <v>1</v>
      </c>
      <c r="I28">
        <f t="shared" si="0"/>
        <v>75</v>
      </c>
    </row>
    <row r="29" spans="1:9" x14ac:dyDescent="0.25">
      <c r="A29" t="s">
        <v>11</v>
      </c>
      <c r="B29" t="s">
        <v>12</v>
      </c>
      <c r="C29" t="s">
        <v>13</v>
      </c>
      <c r="D29">
        <v>1</v>
      </c>
      <c r="E29" s="1">
        <v>44948</v>
      </c>
      <c r="F29" t="s">
        <v>14</v>
      </c>
      <c r="G29">
        <v>5</v>
      </c>
      <c r="H29">
        <v>3</v>
      </c>
      <c r="I29">
        <f t="shared" si="0"/>
        <v>15</v>
      </c>
    </row>
    <row r="30" spans="1:9" x14ac:dyDescent="0.25">
      <c r="A30" t="s">
        <v>25</v>
      </c>
      <c r="B30" t="s">
        <v>21</v>
      </c>
      <c r="C30" t="s">
        <v>30</v>
      </c>
      <c r="D30">
        <v>4</v>
      </c>
      <c r="E30" s="1">
        <v>44927</v>
      </c>
      <c r="F30" t="s">
        <v>14</v>
      </c>
      <c r="G30">
        <v>13</v>
      </c>
      <c r="H30">
        <v>5</v>
      </c>
      <c r="I30">
        <f t="shared" si="0"/>
        <v>15</v>
      </c>
    </row>
    <row r="31" spans="1:9" x14ac:dyDescent="0.25">
      <c r="A31" t="s">
        <v>41</v>
      </c>
      <c r="B31" t="s">
        <v>12</v>
      </c>
      <c r="C31" t="s">
        <v>33</v>
      </c>
      <c r="D31">
        <v>3</v>
      </c>
      <c r="E31" s="1">
        <v>44945</v>
      </c>
      <c r="F31" t="s">
        <v>14</v>
      </c>
      <c r="G31">
        <v>22</v>
      </c>
      <c r="H31">
        <v>2</v>
      </c>
      <c r="I31">
        <f t="shared" si="0"/>
        <v>65</v>
      </c>
    </row>
    <row r="32" spans="1:9" x14ac:dyDescent="0.25">
      <c r="A32" t="s">
        <v>34</v>
      </c>
      <c r="B32" t="s">
        <v>9</v>
      </c>
      <c r="C32" t="s">
        <v>10</v>
      </c>
      <c r="D32">
        <v>3</v>
      </c>
      <c r="E32" s="1">
        <v>44942</v>
      </c>
      <c r="F32" t="s">
        <v>14</v>
      </c>
      <c r="G32">
        <v>10</v>
      </c>
      <c r="H32">
        <v>1</v>
      </c>
      <c r="I32">
        <f t="shared" si="0"/>
        <v>44</v>
      </c>
    </row>
    <row r="33" spans="1:9" x14ac:dyDescent="0.25">
      <c r="A33" t="s">
        <v>35</v>
      </c>
      <c r="B33" t="s">
        <v>22</v>
      </c>
      <c r="C33" t="s">
        <v>30</v>
      </c>
      <c r="D33">
        <v>4</v>
      </c>
      <c r="E33" s="1">
        <v>44934</v>
      </c>
      <c r="F33" t="s">
        <v>14</v>
      </c>
      <c r="G33">
        <v>20</v>
      </c>
      <c r="H33">
        <v>3</v>
      </c>
      <c r="I33">
        <f t="shared" si="0"/>
        <v>10</v>
      </c>
    </row>
    <row r="34" spans="1:9" x14ac:dyDescent="0.25">
      <c r="A34" t="s">
        <v>41</v>
      </c>
      <c r="B34" t="s">
        <v>12</v>
      </c>
      <c r="C34" t="s">
        <v>33</v>
      </c>
      <c r="D34">
        <v>3</v>
      </c>
      <c r="E34" s="1">
        <v>44945</v>
      </c>
      <c r="F34" t="s">
        <v>14</v>
      </c>
      <c r="G34">
        <v>20</v>
      </c>
      <c r="H34">
        <v>3</v>
      </c>
      <c r="I34">
        <f t="shared" si="0"/>
        <v>60</v>
      </c>
    </row>
    <row r="35" spans="1:9" x14ac:dyDescent="0.25">
      <c r="A35" t="s">
        <v>49</v>
      </c>
      <c r="B35" t="s">
        <v>9</v>
      </c>
      <c r="C35" t="s">
        <v>36</v>
      </c>
      <c r="D35">
        <v>2</v>
      </c>
      <c r="E35" s="1">
        <v>44955</v>
      </c>
      <c r="F35" t="s">
        <v>14</v>
      </c>
      <c r="G35">
        <v>25</v>
      </c>
      <c r="H35">
        <v>1</v>
      </c>
      <c r="I35">
        <f t="shared" si="0"/>
        <v>60</v>
      </c>
    </row>
    <row r="36" spans="1:9" x14ac:dyDescent="0.25">
      <c r="A36" t="s">
        <v>50</v>
      </c>
      <c r="B36" t="s">
        <v>23</v>
      </c>
      <c r="C36" t="s">
        <v>43</v>
      </c>
      <c r="D36">
        <v>1</v>
      </c>
      <c r="E36" s="1">
        <v>44931</v>
      </c>
      <c r="F36" t="s">
        <v>14</v>
      </c>
      <c r="G36">
        <v>10</v>
      </c>
      <c r="H36">
        <v>3</v>
      </c>
      <c r="I36">
        <f t="shared" si="0"/>
        <v>25</v>
      </c>
    </row>
    <row r="37" spans="1:9" x14ac:dyDescent="0.25">
      <c r="A37" t="s">
        <v>50</v>
      </c>
      <c r="B37" t="s">
        <v>42</v>
      </c>
      <c r="C37" t="s">
        <v>37</v>
      </c>
      <c r="D37">
        <v>1</v>
      </c>
      <c r="E37" s="1">
        <v>44928</v>
      </c>
      <c r="F37" t="s">
        <v>14</v>
      </c>
      <c r="G37">
        <v>20</v>
      </c>
      <c r="H37">
        <v>1</v>
      </c>
      <c r="I37">
        <f t="shared" si="0"/>
        <v>30</v>
      </c>
    </row>
    <row r="38" spans="1:9" x14ac:dyDescent="0.25">
      <c r="A38" t="s">
        <v>38</v>
      </c>
      <c r="B38" t="s">
        <v>23</v>
      </c>
      <c r="C38" t="s">
        <v>30</v>
      </c>
      <c r="D38">
        <v>2</v>
      </c>
      <c r="E38" s="1">
        <v>44953</v>
      </c>
      <c r="F38" t="s">
        <v>14</v>
      </c>
      <c r="G38">
        <v>20</v>
      </c>
      <c r="H38">
        <v>2</v>
      </c>
      <c r="I38">
        <f t="shared" si="0"/>
        <v>20</v>
      </c>
    </row>
    <row r="39" spans="1:9" x14ac:dyDescent="0.25">
      <c r="A39" t="s">
        <v>41</v>
      </c>
      <c r="B39" t="s">
        <v>42</v>
      </c>
      <c r="C39" t="s">
        <v>43</v>
      </c>
      <c r="D39">
        <v>2</v>
      </c>
      <c r="E39" s="1">
        <v>44947</v>
      </c>
      <c r="F39" t="s">
        <v>14</v>
      </c>
      <c r="G39">
        <v>10</v>
      </c>
      <c r="H39">
        <v>1</v>
      </c>
      <c r="I39">
        <f t="shared" si="0"/>
        <v>40</v>
      </c>
    </row>
    <row r="40" spans="1:9" x14ac:dyDescent="0.25">
      <c r="A40" t="s">
        <v>41</v>
      </c>
      <c r="B40" t="s">
        <v>21</v>
      </c>
      <c r="C40" t="s">
        <v>16</v>
      </c>
      <c r="D40">
        <v>1</v>
      </c>
      <c r="E40" s="1">
        <v>44939</v>
      </c>
      <c r="F40" t="s">
        <v>14</v>
      </c>
      <c r="G40">
        <v>14</v>
      </c>
      <c r="H40">
        <v>3</v>
      </c>
      <c r="I40">
        <f t="shared" si="0"/>
        <v>10</v>
      </c>
    </row>
    <row r="41" spans="1:9" x14ac:dyDescent="0.25">
      <c r="A41" t="s">
        <v>51</v>
      </c>
      <c r="B41" t="s">
        <v>22</v>
      </c>
      <c r="C41" t="s">
        <v>13</v>
      </c>
      <c r="D41">
        <v>1</v>
      </c>
      <c r="E41" s="1">
        <v>44933</v>
      </c>
      <c r="F41" t="s">
        <v>14</v>
      </c>
      <c r="G41">
        <v>20</v>
      </c>
      <c r="H41">
        <v>1</v>
      </c>
      <c r="I41">
        <f t="shared" si="0"/>
        <v>42</v>
      </c>
    </row>
    <row r="42" spans="1:9" x14ac:dyDescent="0.25">
      <c r="A42" t="s">
        <v>19</v>
      </c>
      <c r="B42" t="s">
        <v>9</v>
      </c>
      <c r="C42" t="s">
        <v>20</v>
      </c>
      <c r="D42">
        <v>5</v>
      </c>
      <c r="E42" s="1">
        <v>44940</v>
      </c>
      <c r="F42" t="s">
        <v>14</v>
      </c>
      <c r="G42">
        <v>10</v>
      </c>
      <c r="H42">
        <v>5</v>
      </c>
      <c r="I42">
        <f t="shared" si="0"/>
        <v>20</v>
      </c>
    </row>
    <row r="43" spans="1:9" x14ac:dyDescent="0.25">
      <c r="A43" t="s">
        <v>39</v>
      </c>
      <c r="B43" t="s">
        <v>9</v>
      </c>
      <c r="C43" t="s">
        <v>30</v>
      </c>
      <c r="D43">
        <v>2</v>
      </c>
      <c r="E43" s="1">
        <v>44943</v>
      </c>
      <c r="F43" t="s">
        <v>14</v>
      </c>
      <c r="G43">
        <v>20</v>
      </c>
      <c r="H43">
        <v>4</v>
      </c>
      <c r="I43">
        <f t="shared" si="0"/>
        <v>50</v>
      </c>
    </row>
    <row r="44" spans="1:9" x14ac:dyDescent="0.25">
      <c r="A44" t="s">
        <v>52</v>
      </c>
      <c r="B44" t="s">
        <v>42</v>
      </c>
      <c r="C44" t="s">
        <v>13</v>
      </c>
      <c r="D44">
        <v>1</v>
      </c>
      <c r="E44" s="1">
        <v>44936</v>
      </c>
      <c r="F44" t="s">
        <v>14</v>
      </c>
      <c r="G44">
        <v>20</v>
      </c>
      <c r="H44">
        <v>1</v>
      </c>
      <c r="I44">
        <f t="shared" si="0"/>
        <v>80</v>
      </c>
    </row>
    <row r="45" spans="1:9" x14ac:dyDescent="0.25">
      <c r="A45" t="s">
        <v>53</v>
      </c>
      <c r="B45" t="s">
        <v>22</v>
      </c>
      <c r="C45" t="s">
        <v>33</v>
      </c>
      <c r="D45">
        <v>5</v>
      </c>
      <c r="E45" s="1">
        <v>44935</v>
      </c>
      <c r="F45" t="s">
        <v>14</v>
      </c>
      <c r="G45">
        <v>25</v>
      </c>
      <c r="H45">
        <v>5</v>
      </c>
      <c r="I45">
        <f t="shared" si="0"/>
        <v>20</v>
      </c>
    </row>
    <row r="46" spans="1:9" x14ac:dyDescent="0.25">
      <c r="A46" t="s">
        <v>40</v>
      </c>
      <c r="B46" t="s">
        <v>21</v>
      </c>
      <c r="C46" t="s">
        <v>43</v>
      </c>
      <c r="D46">
        <v>3</v>
      </c>
      <c r="E46" s="1">
        <v>44938</v>
      </c>
      <c r="F46" t="s">
        <v>14</v>
      </c>
      <c r="G46">
        <v>5</v>
      </c>
      <c r="H46">
        <v>5</v>
      </c>
      <c r="I46">
        <f t="shared" si="0"/>
        <v>125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159A9-6A55-447F-8E38-AE2DF02C3FC9}">
  <dimension ref="A2:O32"/>
  <sheetViews>
    <sheetView workbookViewId="0">
      <selection activeCell="E2" sqref="E2"/>
    </sheetView>
  </sheetViews>
  <sheetFormatPr defaultRowHeight="15" x14ac:dyDescent="0.25"/>
  <cols>
    <col min="1" max="1" width="16.28515625" bestFit="1" customWidth="1"/>
    <col min="2" max="2" width="17.85546875" bestFit="1" customWidth="1"/>
    <col min="3" max="3" width="3.28515625" customWidth="1"/>
    <col min="4" max="4" width="13.42578125" bestFit="1" customWidth="1"/>
    <col min="5" max="6" width="15.42578125" bestFit="1" customWidth="1"/>
    <col min="7" max="7" width="13.42578125" bestFit="1" customWidth="1"/>
    <col min="8" max="8" width="27" bestFit="1" customWidth="1"/>
    <col min="9" max="9" width="16.85546875" bestFit="1" customWidth="1"/>
    <col min="10" max="10" width="9.140625" hidden="1" customWidth="1"/>
    <col min="11" max="12" width="13.42578125" bestFit="1" customWidth="1"/>
    <col min="13" max="13" width="27" bestFit="1" customWidth="1"/>
    <col min="14" max="14" width="16.85546875" bestFit="1" customWidth="1"/>
    <col min="15" max="15" width="25.85546875" customWidth="1"/>
  </cols>
  <sheetData>
    <row r="2" spans="1:15" x14ac:dyDescent="0.25">
      <c r="H2" t="s">
        <v>68</v>
      </c>
      <c r="K2" s="7" t="s">
        <v>67</v>
      </c>
      <c r="L2" s="7"/>
      <c r="M2" s="7"/>
    </row>
    <row r="3" spans="1:15" x14ac:dyDescent="0.25">
      <c r="A3" s="3" t="s">
        <v>55</v>
      </c>
      <c r="B3" t="s">
        <v>57</v>
      </c>
      <c r="D3" s="3" t="s">
        <v>55</v>
      </c>
      <c r="E3" t="s">
        <v>58</v>
      </c>
      <c r="G3" s="3" t="s">
        <v>55</v>
      </c>
      <c r="H3" t="s">
        <v>59</v>
      </c>
      <c r="K3" s="3" t="s">
        <v>55</v>
      </c>
      <c r="L3" t="s">
        <v>60</v>
      </c>
      <c r="N3" s="3" t="s">
        <v>55</v>
      </c>
      <c r="O3" t="s">
        <v>61</v>
      </c>
    </row>
    <row r="4" spans="1:15" x14ac:dyDescent="0.25">
      <c r="A4" s="4" t="s">
        <v>31</v>
      </c>
      <c r="B4">
        <v>1</v>
      </c>
      <c r="D4" s="4" t="s">
        <v>33</v>
      </c>
      <c r="E4">
        <v>67</v>
      </c>
      <c r="G4" s="4" t="s">
        <v>33</v>
      </c>
      <c r="H4">
        <v>22.333333333333332</v>
      </c>
      <c r="K4" s="4" t="s">
        <v>33</v>
      </c>
      <c r="L4">
        <v>25</v>
      </c>
      <c r="N4" s="4" t="s">
        <v>33</v>
      </c>
      <c r="O4">
        <v>20</v>
      </c>
    </row>
    <row r="5" spans="1:15" x14ac:dyDescent="0.25">
      <c r="A5" s="4" t="s">
        <v>28</v>
      </c>
      <c r="B5">
        <v>1</v>
      </c>
      <c r="D5" s="4" t="s">
        <v>16</v>
      </c>
      <c r="E5">
        <v>69</v>
      </c>
      <c r="G5" s="4" t="s">
        <v>16</v>
      </c>
      <c r="H5">
        <v>13.8</v>
      </c>
      <c r="K5" s="4" t="s">
        <v>16</v>
      </c>
      <c r="L5">
        <v>25</v>
      </c>
      <c r="N5" s="4" t="s">
        <v>16</v>
      </c>
      <c r="O5">
        <v>5</v>
      </c>
    </row>
    <row r="6" spans="1:15" x14ac:dyDescent="0.25">
      <c r="A6" s="4" t="s">
        <v>8</v>
      </c>
      <c r="B6">
        <v>1</v>
      </c>
      <c r="D6" s="4" t="s">
        <v>18</v>
      </c>
      <c r="E6">
        <v>40</v>
      </c>
      <c r="G6" s="4" t="s">
        <v>18</v>
      </c>
      <c r="H6">
        <v>20</v>
      </c>
      <c r="K6" s="4" t="s">
        <v>18</v>
      </c>
      <c r="L6">
        <v>25</v>
      </c>
      <c r="N6" s="4" t="s">
        <v>18</v>
      </c>
      <c r="O6">
        <v>15</v>
      </c>
    </row>
    <row r="7" spans="1:15" x14ac:dyDescent="0.25">
      <c r="A7" s="4" t="s">
        <v>39</v>
      </c>
      <c r="B7">
        <v>1</v>
      </c>
      <c r="D7" s="4" t="s">
        <v>43</v>
      </c>
      <c r="E7">
        <v>110</v>
      </c>
      <c r="G7" s="4" t="s">
        <v>43</v>
      </c>
      <c r="H7">
        <v>12.222222222222221</v>
      </c>
      <c r="K7" s="4" t="s">
        <v>43</v>
      </c>
      <c r="L7">
        <v>25</v>
      </c>
      <c r="N7" s="4" t="s">
        <v>43</v>
      </c>
      <c r="O7">
        <v>5</v>
      </c>
    </row>
    <row r="8" spans="1:15" x14ac:dyDescent="0.25">
      <c r="A8" s="4" t="s">
        <v>44</v>
      </c>
      <c r="B8">
        <v>2</v>
      </c>
      <c r="D8" s="4" t="s">
        <v>13</v>
      </c>
      <c r="E8">
        <v>90</v>
      </c>
      <c r="G8" s="4" t="s">
        <v>13</v>
      </c>
      <c r="H8">
        <v>18</v>
      </c>
      <c r="K8" s="4" t="s">
        <v>13</v>
      </c>
      <c r="L8">
        <v>25</v>
      </c>
      <c r="N8" s="4" t="s">
        <v>13</v>
      </c>
      <c r="O8">
        <v>5</v>
      </c>
    </row>
    <row r="9" spans="1:15" x14ac:dyDescent="0.25">
      <c r="A9" s="4" t="s">
        <v>38</v>
      </c>
      <c r="B9">
        <v>1</v>
      </c>
      <c r="D9" s="4" t="s">
        <v>36</v>
      </c>
      <c r="E9">
        <v>25</v>
      </c>
      <c r="G9" s="4" t="s">
        <v>36</v>
      </c>
      <c r="H9">
        <v>25</v>
      </c>
      <c r="K9" s="4" t="s">
        <v>36</v>
      </c>
      <c r="L9">
        <v>25</v>
      </c>
      <c r="N9" s="4" t="s">
        <v>36</v>
      </c>
      <c r="O9">
        <v>25</v>
      </c>
    </row>
    <row r="10" spans="1:15" x14ac:dyDescent="0.25">
      <c r="A10" s="4" t="s">
        <v>47</v>
      </c>
      <c r="B10">
        <v>1</v>
      </c>
      <c r="D10" s="4" t="s">
        <v>24</v>
      </c>
      <c r="E10">
        <v>65</v>
      </c>
      <c r="G10" s="4" t="s">
        <v>24</v>
      </c>
      <c r="H10">
        <v>21.666666666666668</v>
      </c>
      <c r="K10" s="4" t="s">
        <v>24</v>
      </c>
      <c r="L10">
        <v>25</v>
      </c>
      <c r="N10" s="4" t="s">
        <v>24</v>
      </c>
      <c r="O10">
        <v>20</v>
      </c>
    </row>
    <row r="11" spans="1:15" x14ac:dyDescent="0.25">
      <c r="A11" s="4" t="s">
        <v>25</v>
      </c>
      <c r="B11">
        <v>2</v>
      </c>
      <c r="D11" s="4" t="s">
        <v>30</v>
      </c>
      <c r="E11">
        <v>88</v>
      </c>
      <c r="G11" s="4" t="s">
        <v>30</v>
      </c>
      <c r="H11">
        <v>12.571428571428571</v>
      </c>
      <c r="K11" s="4" t="s">
        <v>30</v>
      </c>
      <c r="L11">
        <v>20</v>
      </c>
      <c r="N11" s="4" t="s">
        <v>30</v>
      </c>
      <c r="O11">
        <v>5</v>
      </c>
    </row>
    <row r="12" spans="1:15" x14ac:dyDescent="0.25">
      <c r="A12" s="4" t="s">
        <v>29</v>
      </c>
      <c r="B12">
        <v>1</v>
      </c>
      <c r="D12" s="4" t="s">
        <v>10</v>
      </c>
      <c r="E12">
        <v>102</v>
      </c>
      <c r="G12" s="4" t="s">
        <v>10</v>
      </c>
      <c r="H12">
        <v>17</v>
      </c>
      <c r="K12" s="4" t="s">
        <v>10</v>
      </c>
      <c r="L12">
        <v>25</v>
      </c>
      <c r="N12" s="4" t="s">
        <v>10</v>
      </c>
      <c r="O12">
        <v>5</v>
      </c>
    </row>
    <row r="13" spans="1:15" x14ac:dyDescent="0.25">
      <c r="A13" s="4" t="s">
        <v>26</v>
      </c>
      <c r="B13">
        <v>1</v>
      </c>
      <c r="D13" s="4" t="s">
        <v>20</v>
      </c>
      <c r="E13">
        <v>45</v>
      </c>
      <c r="G13" s="4" t="s">
        <v>20</v>
      </c>
      <c r="H13">
        <v>15</v>
      </c>
      <c r="K13" s="4" t="s">
        <v>20</v>
      </c>
      <c r="L13">
        <v>25</v>
      </c>
      <c r="N13" s="4" t="s">
        <v>20</v>
      </c>
      <c r="O13">
        <v>10</v>
      </c>
    </row>
    <row r="14" spans="1:15" x14ac:dyDescent="0.25">
      <c r="A14" s="4" t="s">
        <v>27</v>
      </c>
      <c r="B14">
        <v>1</v>
      </c>
      <c r="D14" s="4" t="s">
        <v>37</v>
      </c>
      <c r="E14">
        <v>20</v>
      </c>
      <c r="G14" s="4" t="s">
        <v>37</v>
      </c>
      <c r="H14">
        <v>20</v>
      </c>
      <c r="K14" s="4" t="s">
        <v>37</v>
      </c>
      <c r="L14">
        <v>20</v>
      </c>
      <c r="N14" s="4" t="s">
        <v>37</v>
      </c>
      <c r="O14">
        <v>20</v>
      </c>
    </row>
    <row r="15" spans="1:15" x14ac:dyDescent="0.25">
      <c r="A15" s="4" t="s">
        <v>45</v>
      </c>
      <c r="B15">
        <v>2</v>
      </c>
      <c r="D15" s="4" t="s">
        <v>56</v>
      </c>
      <c r="E15">
        <v>721</v>
      </c>
      <c r="G15" s="4" t="s">
        <v>56</v>
      </c>
      <c r="H15">
        <v>16.022222222222222</v>
      </c>
      <c r="K15" s="4" t="s">
        <v>56</v>
      </c>
      <c r="L15">
        <v>25</v>
      </c>
      <c r="N15" s="4" t="s">
        <v>56</v>
      </c>
      <c r="O15">
        <v>5</v>
      </c>
    </row>
    <row r="16" spans="1:15" x14ac:dyDescent="0.25">
      <c r="A16" s="4" t="s">
        <v>15</v>
      </c>
      <c r="B16">
        <v>2</v>
      </c>
    </row>
    <row r="17" spans="1:14" x14ac:dyDescent="0.25">
      <c r="A17" s="4" t="s">
        <v>53</v>
      </c>
      <c r="B17">
        <v>1</v>
      </c>
    </row>
    <row r="18" spans="1:14" x14ac:dyDescent="0.25">
      <c r="A18" s="4" t="s">
        <v>46</v>
      </c>
      <c r="B18">
        <v>1</v>
      </c>
      <c r="D18" s="4" t="s">
        <v>66</v>
      </c>
      <c r="H18" t="s">
        <v>65</v>
      </c>
      <c r="M18" t="s">
        <v>64</v>
      </c>
    </row>
    <row r="19" spans="1:14" x14ac:dyDescent="0.25">
      <c r="A19" s="4" t="s">
        <v>49</v>
      </c>
      <c r="B19">
        <v>1</v>
      </c>
      <c r="D19" s="3" t="s">
        <v>55</v>
      </c>
      <c r="E19" t="s">
        <v>62</v>
      </c>
      <c r="G19" s="3" t="s">
        <v>55</v>
      </c>
      <c r="H19" t="s">
        <v>60</v>
      </c>
      <c r="I19" t="s">
        <v>63</v>
      </c>
      <c r="L19" s="3" t="s">
        <v>55</v>
      </c>
      <c r="M19" t="s">
        <v>58</v>
      </c>
      <c r="N19" t="s">
        <v>63</v>
      </c>
    </row>
    <row r="20" spans="1:14" x14ac:dyDescent="0.25">
      <c r="A20" s="4" t="s">
        <v>52</v>
      </c>
      <c r="B20">
        <v>1</v>
      </c>
      <c r="D20" s="4" t="s">
        <v>33</v>
      </c>
      <c r="E20">
        <v>10</v>
      </c>
      <c r="G20" s="4" t="s">
        <v>33</v>
      </c>
      <c r="H20">
        <v>25</v>
      </c>
      <c r="I20">
        <v>3</v>
      </c>
      <c r="L20" s="4" t="s">
        <v>33</v>
      </c>
      <c r="M20">
        <v>67</v>
      </c>
      <c r="N20">
        <v>3</v>
      </c>
    </row>
    <row r="21" spans="1:14" x14ac:dyDescent="0.25">
      <c r="A21" s="4" t="s">
        <v>35</v>
      </c>
      <c r="B21">
        <v>2</v>
      </c>
      <c r="D21" s="4" t="s">
        <v>16</v>
      </c>
      <c r="E21">
        <v>16</v>
      </c>
      <c r="G21" s="4" t="s">
        <v>16</v>
      </c>
      <c r="H21">
        <v>25</v>
      </c>
      <c r="I21">
        <v>5</v>
      </c>
      <c r="L21" s="4" t="s">
        <v>16</v>
      </c>
      <c r="M21">
        <v>69</v>
      </c>
      <c r="N21">
        <v>5</v>
      </c>
    </row>
    <row r="22" spans="1:14" x14ac:dyDescent="0.25">
      <c r="A22" s="4" t="s">
        <v>32</v>
      </c>
      <c r="B22">
        <v>1</v>
      </c>
      <c r="D22" s="4" t="s">
        <v>18</v>
      </c>
      <c r="E22">
        <v>6</v>
      </c>
      <c r="G22" s="4" t="s">
        <v>18</v>
      </c>
      <c r="H22">
        <v>25</v>
      </c>
      <c r="I22">
        <v>2</v>
      </c>
      <c r="L22" s="4" t="s">
        <v>18</v>
      </c>
      <c r="M22">
        <v>40</v>
      </c>
      <c r="N22">
        <v>2</v>
      </c>
    </row>
    <row r="23" spans="1:14" x14ac:dyDescent="0.25">
      <c r="A23" s="4" t="s">
        <v>50</v>
      </c>
      <c r="B23">
        <v>2</v>
      </c>
      <c r="D23" s="4" t="s">
        <v>43</v>
      </c>
      <c r="E23">
        <v>19</v>
      </c>
      <c r="G23" s="4" t="s">
        <v>43</v>
      </c>
      <c r="H23">
        <v>25</v>
      </c>
      <c r="I23">
        <v>9</v>
      </c>
      <c r="L23" s="4" t="s">
        <v>43</v>
      </c>
      <c r="M23">
        <v>110</v>
      </c>
      <c r="N23">
        <v>9</v>
      </c>
    </row>
    <row r="24" spans="1:14" x14ac:dyDescent="0.25">
      <c r="A24" s="4" t="s">
        <v>51</v>
      </c>
      <c r="B24">
        <v>1</v>
      </c>
      <c r="D24" s="4" t="s">
        <v>13</v>
      </c>
      <c r="E24">
        <v>12</v>
      </c>
      <c r="G24" s="4" t="s">
        <v>13</v>
      </c>
      <c r="H24">
        <v>25</v>
      </c>
      <c r="I24">
        <v>5</v>
      </c>
      <c r="L24" s="4" t="s">
        <v>13</v>
      </c>
      <c r="M24">
        <v>90</v>
      </c>
      <c r="N24">
        <v>5</v>
      </c>
    </row>
    <row r="25" spans="1:14" x14ac:dyDescent="0.25">
      <c r="A25" s="4" t="s">
        <v>17</v>
      </c>
      <c r="B25">
        <v>1</v>
      </c>
      <c r="D25" s="4" t="s">
        <v>36</v>
      </c>
      <c r="E25">
        <v>1</v>
      </c>
      <c r="G25" s="4" t="s">
        <v>36</v>
      </c>
      <c r="H25">
        <v>25</v>
      </c>
      <c r="I25">
        <v>1</v>
      </c>
      <c r="L25" s="4" t="s">
        <v>36</v>
      </c>
      <c r="M25">
        <v>25</v>
      </c>
      <c r="N25">
        <v>1</v>
      </c>
    </row>
    <row r="26" spans="1:14" x14ac:dyDescent="0.25">
      <c r="A26" s="4" t="s">
        <v>34</v>
      </c>
      <c r="B26">
        <v>1</v>
      </c>
      <c r="D26" s="4" t="s">
        <v>24</v>
      </c>
      <c r="E26">
        <v>10</v>
      </c>
      <c r="G26" s="4" t="s">
        <v>24</v>
      </c>
      <c r="H26">
        <v>25</v>
      </c>
      <c r="I26">
        <v>3</v>
      </c>
      <c r="L26" s="4" t="s">
        <v>24</v>
      </c>
      <c r="M26">
        <v>65</v>
      </c>
      <c r="N26">
        <v>3</v>
      </c>
    </row>
    <row r="27" spans="1:14" x14ac:dyDescent="0.25">
      <c r="A27" s="4" t="s">
        <v>41</v>
      </c>
      <c r="B27">
        <v>10</v>
      </c>
      <c r="D27" s="4" t="s">
        <v>30</v>
      </c>
      <c r="E27">
        <v>21</v>
      </c>
      <c r="G27" s="4" t="s">
        <v>30</v>
      </c>
      <c r="H27">
        <v>20</v>
      </c>
      <c r="I27">
        <v>7</v>
      </c>
      <c r="L27" s="4" t="s">
        <v>30</v>
      </c>
      <c r="M27">
        <v>88</v>
      </c>
      <c r="N27">
        <v>7</v>
      </c>
    </row>
    <row r="28" spans="1:14" x14ac:dyDescent="0.25">
      <c r="A28" s="4" t="s">
        <v>48</v>
      </c>
      <c r="B28">
        <v>1</v>
      </c>
      <c r="D28" s="4" t="s">
        <v>10</v>
      </c>
      <c r="E28">
        <v>19</v>
      </c>
      <c r="G28" s="4" t="s">
        <v>10</v>
      </c>
      <c r="H28">
        <v>25</v>
      </c>
      <c r="I28">
        <v>6</v>
      </c>
      <c r="L28" s="4" t="s">
        <v>10</v>
      </c>
      <c r="M28">
        <v>102</v>
      </c>
      <c r="N28">
        <v>6</v>
      </c>
    </row>
    <row r="29" spans="1:14" x14ac:dyDescent="0.25">
      <c r="A29" s="4" t="s">
        <v>40</v>
      </c>
      <c r="B29">
        <v>1</v>
      </c>
      <c r="D29" s="4" t="s">
        <v>20</v>
      </c>
      <c r="E29">
        <v>14</v>
      </c>
      <c r="G29" s="4" t="s">
        <v>20</v>
      </c>
      <c r="H29">
        <v>25</v>
      </c>
      <c r="I29">
        <v>3</v>
      </c>
      <c r="L29" s="4" t="s">
        <v>20</v>
      </c>
      <c r="M29">
        <v>45</v>
      </c>
      <c r="N29">
        <v>3</v>
      </c>
    </row>
    <row r="30" spans="1:14" x14ac:dyDescent="0.25">
      <c r="A30" s="4" t="s">
        <v>11</v>
      </c>
      <c r="B30">
        <v>2</v>
      </c>
      <c r="D30" s="4" t="s">
        <v>37</v>
      </c>
      <c r="E30">
        <v>1</v>
      </c>
      <c r="G30" s="4" t="s">
        <v>37</v>
      </c>
      <c r="H30">
        <v>20</v>
      </c>
      <c r="I30">
        <v>1</v>
      </c>
      <c r="L30" s="4" t="s">
        <v>37</v>
      </c>
      <c r="M30">
        <v>20</v>
      </c>
      <c r="N30">
        <v>1</v>
      </c>
    </row>
    <row r="31" spans="1:14" x14ac:dyDescent="0.25">
      <c r="A31" s="4" t="s">
        <v>19</v>
      </c>
      <c r="B31">
        <v>2</v>
      </c>
      <c r="D31" s="4" t="s">
        <v>56</v>
      </c>
      <c r="E31">
        <v>129</v>
      </c>
      <c r="G31" s="4" t="s">
        <v>56</v>
      </c>
      <c r="H31">
        <v>25</v>
      </c>
      <c r="I31">
        <v>45</v>
      </c>
      <c r="L31" s="4" t="s">
        <v>56</v>
      </c>
      <c r="M31">
        <v>721</v>
      </c>
      <c r="N31">
        <v>45</v>
      </c>
    </row>
    <row r="32" spans="1:14" x14ac:dyDescent="0.25">
      <c r="A32" s="4" t="s">
        <v>56</v>
      </c>
      <c r="B32">
        <v>45</v>
      </c>
    </row>
  </sheetData>
  <mergeCells count="1">
    <mergeCell ref="K2:M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2B6AF-C87C-4BAC-96E9-88DA47C1F5C0}">
  <dimension ref="A1:P46"/>
  <sheetViews>
    <sheetView topLeftCell="A7" workbookViewId="0">
      <selection activeCell="G2" sqref="G2"/>
    </sheetView>
  </sheetViews>
  <sheetFormatPr defaultRowHeight="15" x14ac:dyDescent="0.25"/>
  <cols>
    <col min="1" max="1" width="16.28515625" bestFit="1" customWidth="1"/>
    <col min="2" max="2" width="15.7109375" customWidth="1"/>
    <col min="3" max="3" width="18.28515625" customWidth="1"/>
    <col min="4" max="4" width="10.42578125" customWidth="1"/>
    <col min="5" max="5" width="17.140625" customWidth="1"/>
    <col min="6" max="6" width="13.85546875" customWidth="1"/>
    <col min="7" max="7" width="27.42578125" customWidth="1"/>
    <col min="8" max="8" width="13.140625" customWidth="1"/>
  </cols>
  <sheetData>
    <row r="1" spans="1:16" ht="18.75" x14ac:dyDescent="0.3">
      <c r="A1" s="2" t="s">
        <v>0</v>
      </c>
      <c r="B1" s="2" t="s">
        <v>1</v>
      </c>
      <c r="C1" s="2" t="s">
        <v>2</v>
      </c>
      <c r="D1" s="2" t="s">
        <v>3</v>
      </c>
      <c r="E1" s="2" t="s">
        <v>4</v>
      </c>
      <c r="F1" s="2" t="s">
        <v>5</v>
      </c>
      <c r="G1" s="2" t="s">
        <v>6</v>
      </c>
      <c r="H1" s="2" t="s">
        <v>7</v>
      </c>
      <c r="J1" s="8" t="s">
        <v>54</v>
      </c>
      <c r="K1" s="9"/>
      <c r="L1" s="9"/>
      <c r="M1" s="9"/>
      <c r="N1" s="9"/>
      <c r="O1" s="9"/>
      <c r="P1" s="9"/>
    </row>
    <row r="2" spans="1:16" x14ac:dyDescent="0.25">
      <c r="A2" t="s">
        <v>8</v>
      </c>
      <c r="B2" t="s">
        <v>9</v>
      </c>
      <c r="C2" t="s">
        <v>10</v>
      </c>
      <c r="D2">
        <v>2</v>
      </c>
      <c r="E2" s="1">
        <v>44947</v>
      </c>
      <c r="F2" t="s">
        <v>14</v>
      </c>
      <c r="G2">
        <v>5</v>
      </c>
      <c r="H2">
        <v>4</v>
      </c>
    </row>
    <row r="3" spans="1:16" x14ac:dyDescent="0.25">
      <c r="A3" t="s">
        <v>11</v>
      </c>
      <c r="B3" t="s">
        <v>12</v>
      </c>
      <c r="C3" t="s">
        <v>13</v>
      </c>
      <c r="D3">
        <v>1</v>
      </c>
      <c r="E3" s="1">
        <v>44948</v>
      </c>
      <c r="F3" t="s">
        <v>14</v>
      </c>
      <c r="G3">
        <v>20</v>
      </c>
      <c r="H3">
        <v>3</v>
      </c>
    </row>
    <row r="4" spans="1:16" x14ac:dyDescent="0.25">
      <c r="A4" t="s">
        <v>41</v>
      </c>
      <c r="B4" t="s">
        <v>42</v>
      </c>
      <c r="C4" t="s">
        <v>43</v>
      </c>
      <c r="D4">
        <v>2</v>
      </c>
      <c r="E4" s="1">
        <v>44947</v>
      </c>
      <c r="F4" t="s">
        <v>14</v>
      </c>
      <c r="G4">
        <v>5</v>
      </c>
      <c r="H4">
        <v>1</v>
      </c>
    </row>
    <row r="5" spans="1:16" x14ac:dyDescent="0.25">
      <c r="A5" t="s">
        <v>15</v>
      </c>
      <c r="B5" t="s">
        <v>9</v>
      </c>
      <c r="C5" t="s">
        <v>16</v>
      </c>
      <c r="D5">
        <v>2</v>
      </c>
      <c r="E5" s="1">
        <v>44950</v>
      </c>
      <c r="F5" t="s">
        <v>14</v>
      </c>
      <c r="G5">
        <v>5</v>
      </c>
      <c r="H5">
        <v>1</v>
      </c>
    </row>
    <row r="6" spans="1:16" x14ac:dyDescent="0.25">
      <c r="A6" t="s">
        <v>17</v>
      </c>
      <c r="B6" t="s">
        <v>9</v>
      </c>
      <c r="C6" t="s">
        <v>43</v>
      </c>
      <c r="D6">
        <v>4</v>
      </c>
      <c r="E6" s="1">
        <v>44947</v>
      </c>
      <c r="F6" t="s">
        <v>14</v>
      </c>
      <c r="G6">
        <v>5</v>
      </c>
      <c r="H6">
        <v>1</v>
      </c>
    </row>
    <row r="7" spans="1:16" x14ac:dyDescent="0.25">
      <c r="A7" t="s">
        <v>44</v>
      </c>
      <c r="B7" t="s">
        <v>9</v>
      </c>
      <c r="C7" t="s">
        <v>18</v>
      </c>
      <c r="D7">
        <v>1</v>
      </c>
      <c r="E7" s="1">
        <v>44960</v>
      </c>
      <c r="F7" t="s">
        <v>14</v>
      </c>
      <c r="G7">
        <v>25</v>
      </c>
      <c r="H7">
        <v>5</v>
      </c>
    </row>
    <row r="8" spans="1:16" x14ac:dyDescent="0.25">
      <c r="A8" t="s">
        <v>19</v>
      </c>
      <c r="B8" t="s">
        <v>9</v>
      </c>
      <c r="C8" t="s">
        <v>20</v>
      </c>
      <c r="D8">
        <v>5</v>
      </c>
      <c r="E8" s="1">
        <v>44940</v>
      </c>
      <c r="F8" t="s">
        <v>14</v>
      </c>
      <c r="G8">
        <v>10</v>
      </c>
      <c r="H8">
        <v>4</v>
      </c>
    </row>
    <row r="9" spans="1:16" x14ac:dyDescent="0.25">
      <c r="A9" t="s">
        <v>45</v>
      </c>
      <c r="B9" t="s">
        <v>21</v>
      </c>
      <c r="C9" t="s">
        <v>10</v>
      </c>
      <c r="D9">
        <v>2</v>
      </c>
      <c r="E9" s="1">
        <v>44961</v>
      </c>
      <c r="F9" t="s">
        <v>14</v>
      </c>
      <c r="G9">
        <v>20</v>
      </c>
      <c r="H9">
        <v>5</v>
      </c>
    </row>
    <row r="10" spans="1:16" x14ac:dyDescent="0.25">
      <c r="A10" t="s">
        <v>46</v>
      </c>
      <c r="B10" t="s">
        <v>22</v>
      </c>
      <c r="C10" t="s">
        <v>13</v>
      </c>
      <c r="D10">
        <v>1</v>
      </c>
      <c r="E10" s="1">
        <v>44958</v>
      </c>
      <c r="F10" t="s">
        <v>14</v>
      </c>
      <c r="G10">
        <v>25</v>
      </c>
      <c r="H10">
        <v>4</v>
      </c>
    </row>
    <row r="11" spans="1:16" x14ac:dyDescent="0.25">
      <c r="A11" t="s">
        <v>41</v>
      </c>
      <c r="B11" t="s">
        <v>23</v>
      </c>
      <c r="C11" t="s">
        <v>24</v>
      </c>
      <c r="D11">
        <v>3</v>
      </c>
      <c r="E11" s="1">
        <v>44947</v>
      </c>
      <c r="F11" t="s">
        <v>14</v>
      </c>
      <c r="G11">
        <v>25</v>
      </c>
      <c r="H11">
        <v>5</v>
      </c>
    </row>
    <row r="12" spans="1:16" x14ac:dyDescent="0.25">
      <c r="A12" t="s">
        <v>47</v>
      </c>
      <c r="B12" t="s">
        <v>9</v>
      </c>
      <c r="C12" t="s">
        <v>20</v>
      </c>
      <c r="D12">
        <v>1</v>
      </c>
      <c r="E12" s="1">
        <v>44957</v>
      </c>
      <c r="F12" t="s">
        <v>14</v>
      </c>
      <c r="G12">
        <v>25</v>
      </c>
      <c r="H12">
        <v>5</v>
      </c>
    </row>
    <row r="13" spans="1:16" x14ac:dyDescent="0.25">
      <c r="A13" t="s">
        <v>45</v>
      </c>
      <c r="B13" t="s">
        <v>21</v>
      </c>
      <c r="C13" t="s">
        <v>10</v>
      </c>
      <c r="D13">
        <v>2</v>
      </c>
      <c r="E13" s="1">
        <v>44961</v>
      </c>
      <c r="F13" t="s">
        <v>14</v>
      </c>
      <c r="G13">
        <v>25</v>
      </c>
      <c r="H13">
        <v>3</v>
      </c>
    </row>
    <row r="14" spans="1:16" x14ac:dyDescent="0.25">
      <c r="A14" t="s">
        <v>25</v>
      </c>
      <c r="B14" t="s">
        <v>9</v>
      </c>
      <c r="C14" t="s">
        <v>10</v>
      </c>
      <c r="D14">
        <v>1</v>
      </c>
      <c r="E14" s="1">
        <v>44941</v>
      </c>
      <c r="F14" t="s">
        <v>14</v>
      </c>
      <c r="G14">
        <v>25</v>
      </c>
      <c r="H14">
        <v>5</v>
      </c>
    </row>
    <row r="15" spans="1:16" x14ac:dyDescent="0.25">
      <c r="A15" t="s">
        <v>26</v>
      </c>
      <c r="B15" t="s">
        <v>42</v>
      </c>
      <c r="C15" t="s">
        <v>16</v>
      </c>
      <c r="D15">
        <v>2</v>
      </c>
      <c r="E15" s="1">
        <v>44944</v>
      </c>
      <c r="F15" t="s">
        <v>14</v>
      </c>
      <c r="G15">
        <v>15</v>
      </c>
      <c r="H15">
        <v>2</v>
      </c>
    </row>
    <row r="16" spans="1:16" x14ac:dyDescent="0.25">
      <c r="A16" t="s">
        <v>27</v>
      </c>
      <c r="B16" t="s">
        <v>23</v>
      </c>
      <c r="C16" t="s">
        <v>24</v>
      </c>
      <c r="D16">
        <v>1</v>
      </c>
      <c r="E16" s="1">
        <v>44929</v>
      </c>
      <c r="F16" t="s">
        <v>14</v>
      </c>
      <c r="G16">
        <v>20</v>
      </c>
      <c r="H16">
        <v>3</v>
      </c>
    </row>
    <row r="17" spans="1:8" x14ac:dyDescent="0.25">
      <c r="A17" t="s">
        <v>28</v>
      </c>
      <c r="B17" t="s">
        <v>21</v>
      </c>
      <c r="C17" t="s">
        <v>16</v>
      </c>
      <c r="D17">
        <v>2</v>
      </c>
      <c r="E17" s="1">
        <v>44952</v>
      </c>
      <c r="F17" t="s">
        <v>14</v>
      </c>
      <c r="G17">
        <v>25</v>
      </c>
      <c r="H17">
        <v>5</v>
      </c>
    </row>
    <row r="18" spans="1:8" x14ac:dyDescent="0.25">
      <c r="A18" t="s">
        <v>41</v>
      </c>
      <c r="B18" t="s">
        <v>42</v>
      </c>
      <c r="C18" t="s">
        <v>43</v>
      </c>
      <c r="D18">
        <v>2</v>
      </c>
      <c r="E18" s="1">
        <v>44947</v>
      </c>
      <c r="F18" t="s">
        <v>14</v>
      </c>
      <c r="G18">
        <v>20</v>
      </c>
      <c r="H18">
        <v>1</v>
      </c>
    </row>
    <row r="19" spans="1:8" x14ac:dyDescent="0.25">
      <c r="A19" t="s">
        <v>29</v>
      </c>
      <c r="B19" t="s">
        <v>12</v>
      </c>
      <c r="C19" t="s">
        <v>43</v>
      </c>
      <c r="D19">
        <v>4</v>
      </c>
      <c r="E19" s="1">
        <v>44951</v>
      </c>
      <c r="F19" t="s">
        <v>14</v>
      </c>
      <c r="G19">
        <v>15</v>
      </c>
      <c r="H19">
        <v>2</v>
      </c>
    </row>
    <row r="20" spans="1:8" x14ac:dyDescent="0.25">
      <c r="A20" t="s">
        <v>41</v>
      </c>
      <c r="B20" t="s">
        <v>42</v>
      </c>
      <c r="C20" t="s">
        <v>43</v>
      </c>
      <c r="D20">
        <v>2</v>
      </c>
      <c r="E20" s="1">
        <v>44947</v>
      </c>
      <c r="F20" t="s">
        <v>14</v>
      </c>
      <c r="G20">
        <v>15</v>
      </c>
      <c r="H20">
        <v>2</v>
      </c>
    </row>
    <row r="21" spans="1:8" x14ac:dyDescent="0.25">
      <c r="A21" t="s">
        <v>41</v>
      </c>
      <c r="B21" t="s">
        <v>23</v>
      </c>
      <c r="C21" t="s">
        <v>24</v>
      </c>
      <c r="D21">
        <v>3</v>
      </c>
      <c r="E21" s="1">
        <v>44959</v>
      </c>
      <c r="F21" t="s">
        <v>14</v>
      </c>
      <c r="G21">
        <v>20</v>
      </c>
      <c r="H21">
        <v>2</v>
      </c>
    </row>
    <row r="22" spans="1:8" x14ac:dyDescent="0.25">
      <c r="A22" t="s">
        <v>44</v>
      </c>
      <c r="B22" t="s">
        <v>9</v>
      </c>
      <c r="C22" t="s">
        <v>30</v>
      </c>
      <c r="D22">
        <v>3</v>
      </c>
      <c r="E22" s="1">
        <v>44947</v>
      </c>
      <c r="F22" t="s">
        <v>14</v>
      </c>
      <c r="G22">
        <v>5</v>
      </c>
      <c r="H22">
        <v>3</v>
      </c>
    </row>
    <row r="23" spans="1:8" x14ac:dyDescent="0.25">
      <c r="A23" t="s">
        <v>48</v>
      </c>
      <c r="B23" t="s">
        <v>12</v>
      </c>
      <c r="C23" t="s">
        <v>16</v>
      </c>
      <c r="D23">
        <v>1</v>
      </c>
      <c r="E23" s="1">
        <v>44949</v>
      </c>
      <c r="F23" t="s">
        <v>14</v>
      </c>
      <c r="G23">
        <v>10</v>
      </c>
      <c r="H23">
        <v>5</v>
      </c>
    </row>
    <row r="24" spans="1:8" x14ac:dyDescent="0.25">
      <c r="A24" t="s">
        <v>31</v>
      </c>
      <c r="B24" t="s">
        <v>21</v>
      </c>
      <c r="C24" t="s">
        <v>30</v>
      </c>
      <c r="D24">
        <v>1</v>
      </c>
      <c r="E24" s="1">
        <v>44930</v>
      </c>
      <c r="F24" t="s">
        <v>14</v>
      </c>
      <c r="G24">
        <v>5</v>
      </c>
      <c r="H24">
        <v>3</v>
      </c>
    </row>
    <row r="25" spans="1:8" x14ac:dyDescent="0.25">
      <c r="A25" t="s">
        <v>32</v>
      </c>
      <c r="B25" t="s">
        <v>22</v>
      </c>
      <c r="C25" t="s">
        <v>10</v>
      </c>
      <c r="D25">
        <v>5</v>
      </c>
      <c r="E25" s="1">
        <v>44947</v>
      </c>
      <c r="F25" t="s">
        <v>14</v>
      </c>
      <c r="G25">
        <v>17</v>
      </c>
      <c r="H25">
        <v>1</v>
      </c>
    </row>
    <row r="26" spans="1:8" x14ac:dyDescent="0.25">
      <c r="A26" t="s">
        <v>35</v>
      </c>
      <c r="B26" t="s">
        <v>22</v>
      </c>
      <c r="C26" t="s">
        <v>30</v>
      </c>
      <c r="D26">
        <v>4</v>
      </c>
      <c r="E26" s="1">
        <v>44934</v>
      </c>
      <c r="F26" t="s">
        <v>14</v>
      </c>
      <c r="G26">
        <v>5</v>
      </c>
      <c r="H26">
        <v>1</v>
      </c>
    </row>
    <row r="27" spans="1:8" x14ac:dyDescent="0.25">
      <c r="A27" t="s">
        <v>41</v>
      </c>
      <c r="B27" t="s">
        <v>42</v>
      </c>
      <c r="C27" t="s">
        <v>43</v>
      </c>
      <c r="D27">
        <v>2</v>
      </c>
      <c r="E27" s="1">
        <v>44947</v>
      </c>
      <c r="F27" t="s">
        <v>14</v>
      </c>
      <c r="G27">
        <v>25</v>
      </c>
      <c r="H27">
        <v>3</v>
      </c>
    </row>
    <row r="28" spans="1:8" x14ac:dyDescent="0.25">
      <c r="A28" t="s">
        <v>15</v>
      </c>
      <c r="B28" t="s">
        <v>42</v>
      </c>
      <c r="C28" t="s">
        <v>18</v>
      </c>
      <c r="D28">
        <v>1</v>
      </c>
      <c r="E28" s="1">
        <v>44946</v>
      </c>
      <c r="F28" t="s">
        <v>14</v>
      </c>
      <c r="G28">
        <v>15</v>
      </c>
      <c r="H28">
        <v>1</v>
      </c>
    </row>
    <row r="29" spans="1:8" x14ac:dyDescent="0.25">
      <c r="A29" t="s">
        <v>11</v>
      </c>
      <c r="B29" t="s">
        <v>12</v>
      </c>
      <c r="C29" t="s">
        <v>13</v>
      </c>
      <c r="D29">
        <v>1</v>
      </c>
      <c r="E29" s="1">
        <v>44948</v>
      </c>
      <c r="F29" t="s">
        <v>14</v>
      </c>
      <c r="G29">
        <v>5</v>
      </c>
      <c r="H29">
        <v>3</v>
      </c>
    </row>
    <row r="30" spans="1:8" x14ac:dyDescent="0.25">
      <c r="A30" t="s">
        <v>25</v>
      </c>
      <c r="B30" t="s">
        <v>21</v>
      </c>
      <c r="C30" t="s">
        <v>30</v>
      </c>
      <c r="D30">
        <v>4</v>
      </c>
      <c r="E30" s="1">
        <v>44927</v>
      </c>
      <c r="F30" t="s">
        <v>14</v>
      </c>
      <c r="G30">
        <v>13</v>
      </c>
      <c r="H30">
        <v>5</v>
      </c>
    </row>
    <row r="31" spans="1:8" x14ac:dyDescent="0.25">
      <c r="A31" t="s">
        <v>41</v>
      </c>
      <c r="B31" t="s">
        <v>12</v>
      </c>
      <c r="C31" t="s">
        <v>33</v>
      </c>
      <c r="D31">
        <v>3</v>
      </c>
      <c r="E31" s="1">
        <v>44945</v>
      </c>
      <c r="F31" t="s">
        <v>14</v>
      </c>
      <c r="G31">
        <v>22</v>
      </c>
      <c r="H31">
        <v>2</v>
      </c>
    </row>
    <row r="32" spans="1:8" x14ac:dyDescent="0.25">
      <c r="A32" t="s">
        <v>34</v>
      </c>
      <c r="B32" t="s">
        <v>9</v>
      </c>
      <c r="C32" t="s">
        <v>10</v>
      </c>
      <c r="D32">
        <v>3</v>
      </c>
      <c r="E32" s="1">
        <v>44942</v>
      </c>
      <c r="F32" t="s">
        <v>14</v>
      </c>
      <c r="G32">
        <v>10</v>
      </c>
      <c r="H32">
        <v>1</v>
      </c>
    </row>
    <row r="33" spans="1:8" x14ac:dyDescent="0.25">
      <c r="A33" t="s">
        <v>35</v>
      </c>
      <c r="B33" t="s">
        <v>22</v>
      </c>
      <c r="C33" t="s">
        <v>30</v>
      </c>
      <c r="D33">
        <v>4</v>
      </c>
      <c r="E33" s="1">
        <v>44934</v>
      </c>
      <c r="F33" t="s">
        <v>14</v>
      </c>
      <c r="G33">
        <v>20</v>
      </c>
      <c r="H33">
        <v>3</v>
      </c>
    </row>
    <row r="34" spans="1:8" x14ac:dyDescent="0.25">
      <c r="A34" t="s">
        <v>41</v>
      </c>
      <c r="B34" t="s">
        <v>12</v>
      </c>
      <c r="C34" t="s">
        <v>33</v>
      </c>
      <c r="D34">
        <v>3</v>
      </c>
      <c r="E34" s="1">
        <v>44945</v>
      </c>
      <c r="F34" t="s">
        <v>14</v>
      </c>
      <c r="G34">
        <v>20</v>
      </c>
      <c r="H34">
        <v>3</v>
      </c>
    </row>
    <row r="35" spans="1:8" x14ac:dyDescent="0.25">
      <c r="A35" t="s">
        <v>49</v>
      </c>
      <c r="B35" t="s">
        <v>9</v>
      </c>
      <c r="C35" t="s">
        <v>36</v>
      </c>
      <c r="D35">
        <v>2</v>
      </c>
      <c r="E35" s="1">
        <v>44955</v>
      </c>
      <c r="F35" t="s">
        <v>14</v>
      </c>
      <c r="G35">
        <v>25</v>
      </c>
      <c r="H35">
        <v>1</v>
      </c>
    </row>
    <row r="36" spans="1:8" x14ac:dyDescent="0.25">
      <c r="A36" t="s">
        <v>50</v>
      </c>
      <c r="B36" t="s">
        <v>23</v>
      </c>
      <c r="C36" t="s">
        <v>43</v>
      </c>
      <c r="D36">
        <v>1</v>
      </c>
      <c r="E36" s="1">
        <v>44931</v>
      </c>
      <c r="F36" t="s">
        <v>14</v>
      </c>
      <c r="G36">
        <v>10</v>
      </c>
      <c r="H36">
        <v>3</v>
      </c>
    </row>
    <row r="37" spans="1:8" x14ac:dyDescent="0.25">
      <c r="A37" t="s">
        <v>50</v>
      </c>
      <c r="B37" t="s">
        <v>42</v>
      </c>
      <c r="C37" t="s">
        <v>37</v>
      </c>
      <c r="D37">
        <v>1</v>
      </c>
      <c r="E37" s="1">
        <v>44928</v>
      </c>
      <c r="F37" t="s">
        <v>14</v>
      </c>
      <c r="G37">
        <v>20</v>
      </c>
      <c r="H37">
        <v>1</v>
      </c>
    </row>
    <row r="38" spans="1:8" x14ac:dyDescent="0.25">
      <c r="A38" t="s">
        <v>38</v>
      </c>
      <c r="B38" t="s">
        <v>23</v>
      </c>
      <c r="C38" t="s">
        <v>30</v>
      </c>
      <c r="D38">
        <v>2</v>
      </c>
      <c r="E38" s="1">
        <v>44953</v>
      </c>
      <c r="F38" t="s">
        <v>14</v>
      </c>
      <c r="G38">
        <v>20</v>
      </c>
      <c r="H38">
        <v>2</v>
      </c>
    </row>
    <row r="39" spans="1:8" x14ac:dyDescent="0.25">
      <c r="A39" t="s">
        <v>41</v>
      </c>
      <c r="B39" t="s">
        <v>42</v>
      </c>
      <c r="C39" t="s">
        <v>43</v>
      </c>
      <c r="D39">
        <v>2</v>
      </c>
      <c r="E39" s="1">
        <v>44947</v>
      </c>
      <c r="F39" t="s">
        <v>14</v>
      </c>
      <c r="G39">
        <v>10</v>
      </c>
      <c r="H39">
        <v>1</v>
      </c>
    </row>
    <row r="40" spans="1:8" x14ac:dyDescent="0.25">
      <c r="A40" t="s">
        <v>41</v>
      </c>
      <c r="B40" t="s">
        <v>21</v>
      </c>
      <c r="C40" t="s">
        <v>16</v>
      </c>
      <c r="D40">
        <v>1</v>
      </c>
      <c r="E40" s="1">
        <v>44939</v>
      </c>
      <c r="F40" t="s">
        <v>14</v>
      </c>
      <c r="G40">
        <v>14</v>
      </c>
      <c r="H40">
        <v>3</v>
      </c>
    </row>
    <row r="41" spans="1:8" x14ac:dyDescent="0.25">
      <c r="A41" t="s">
        <v>51</v>
      </c>
      <c r="B41" t="s">
        <v>22</v>
      </c>
      <c r="C41" t="s">
        <v>13</v>
      </c>
      <c r="D41">
        <v>1</v>
      </c>
      <c r="E41" s="1">
        <v>44933</v>
      </c>
      <c r="F41" t="s">
        <v>14</v>
      </c>
      <c r="G41">
        <v>20</v>
      </c>
      <c r="H41">
        <v>1</v>
      </c>
    </row>
    <row r="42" spans="1:8" x14ac:dyDescent="0.25">
      <c r="A42" t="s">
        <v>19</v>
      </c>
      <c r="B42" t="s">
        <v>9</v>
      </c>
      <c r="C42" t="s">
        <v>20</v>
      </c>
      <c r="D42">
        <v>5</v>
      </c>
      <c r="E42" s="1">
        <v>44940</v>
      </c>
      <c r="F42" t="s">
        <v>14</v>
      </c>
      <c r="G42">
        <v>10</v>
      </c>
      <c r="H42">
        <v>5</v>
      </c>
    </row>
    <row r="43" spans="1:8" x14ac:dyDescent="0.25">
      <c r="A43" t="s">
        <v>39</v>
      </c>
      <c r="B43" t="s">
        <v>9</v>
      </c>
      <c r="C43" t="s">
        <v>30</v>
      </c>
      <c r="D43">
        <v>2</v>
      </c>
      <c r="E43" s="1">
        <v>44943</v>
      </c>
      <c r="F43" t="s">
        <v>14</v>
      </c>
      <c r="G43">
        <v>20</v>
      </c>
      <c r="H43">
        <v>4</v>
      </c>
    </row>
    <row r="44" spans="1:8" x14ac:dyDescent="0.25">
      <c r="A44" t="s">
        <v>52</v>
      </c>
      <c r="B44" t="s">
        <v>42</v>
      </c>
      <c r="C44" t="s">
        <v>13</v>
      </c>
      <c r="D44">
        <v>1</v>
      </c>
      <c r="E44" s="1">
        <v>44936</v>
      </c>
      <c r="F44" t="s">
        <v>14</v>
      </c>
      <c r="G44">
        <v>20</v>
      </c>
      <c r="H44">
        <v>1</v>
      </c>
    </row>
    <row r="45" spans="1:8" x14ac:dyDescent="0.25">
      <c r="A45" t="s">
        <v>53</v>
      </c>
      <c r="B45" t="s">
        <v>22</v>
      </c>
      <c r="C45" t="s">
        <v>33</v>
      </c>
      <c r="D45">
        <v>5</v>
      </c>
      <c r="E45" s="1">
        <v>44935</v>
      </c>
      <c r="F45" t="s">
        <v>14</v>
      </c>
      <c r="G45">
        <v>25</v>
      </c>
      <c r="H45">
        <v>5</v>
      </c>
    </row>
    <row r="46" spans="1:8" x14ac:dyDescent="0.25">
      <c r="A46" t="s">
        <v>40</v>
      </c>
      <c r="B46" t="s">
        <v>21</v>
      </c>
      <c r="C46" t="s">
        <v>43</v>
      </c>
      <c r="D46">
        <v>3</v>
      </c>
      <c r="E46" s="1">
        <v>44938</v>
      </c>
      <c r="F46" t="s">
        <v>14</v>
      </c>
      <c r="G46">
        <v>5</v>
      </c>
      <c r="H46">
        <v>5</v>
      </c>
    </row>
  </sheetData>
  <mergeCells count="1">
    <mergeCell ref="J1:P1"/>
  </mergeCells>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00708-A6EE-4D59-B221-4694DFB132A7}">
  <dimension ref="C1:M1"/>
  <sheetViews>
    <sheetView tabSelected="1" zoomScale="59" zoomScaleNormal="59" workbookViewId="0">
      <selection activeCell="AA32" sqref="AA32"/>
    </sheetView>
  </sheetViews>
  <sheetFormatPr defaultRowHeight="15" x14ac:dyDescent="0.25"/>
  <sheetData>
    <row r="1" spans="3:13" ht="46.5" customHeight="1" x14ac:dyDescent="0.7">
      <c r="C1" s="5" t="s">
        <v>77</v>
      </c>
      <c r="D1" s="6"/>
      <c r="E1" s="6"/>
      <c r="F1" s="6"/>
      <c r="G1" s="6"/>
      <c r="H1" s="6"/>
      <c r="I1" s="6"/>
      <c r="J1" s="6"/>
      <c r="K1" s="6"/>
      <c r="L1" s="6"/>
      <c r="M1"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Capstone messy_restaurant_data</vt:lpstr>
      <vt:lpstr>Chart</vt:lpstr>
      <vt:lpstr>Sheet3</vt:lpstr>
      <vt:lpstr>Pivot</vt:lpstr>
      <vt:lpstr>Sheet1</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believe okene</cp:lastModifiedBy>
  <dcterms:created xsi:type="dcterms:W3CDTF">2026-05-13T15:07:10Z</dcterms:created>
  <dcterms:modified xsi:type="dcterms:W3CDTF">2026-05-22T16:01:14Z</dcterms:modified>
</cp:coreProperties>
</file>